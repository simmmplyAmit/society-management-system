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yer Sir Room Maintenance" sheetId="1" r:id="rId4"/>
    <sheet state="visible" name="Maintenance_rebalancing" sheetId="2" r:id="rId5"/>
    <sheet state="visible" name="Summary" sheetId="3" r:id="rId6"/>
    <sheet state="visible" name="Payments" sheetId="4" r:id="rId7"/>
    <sheet state="visible" name="Payments Received" sheetId="5" r:id="rId8"/>
    <sheet state="visible" name="Pending Maintenance" sheetId="6" r:id="rId9"/>
    <sheet state="visible" name="Maintenance-Iyer" sheetId="7" r:id="rId10"/>
    <sheet state="visible" name="Pending Works" sheetId="8" r:id="rId11"/>
    <sheet state="visible" name="Maintenance-Builder" sheetId="9" r:id="rId12"/>
    <sheet state="visible" name="Expenses" sheetId="10" r:id="rId13"/>
    <sheet state="visible" name="Income" sheetId="11" r:id="rId14"/>
    <sheet state="visible" name="Sheet4" sheetId="12" r:id="rId15"/>
    <sheet state="visible" name="Maintenance" sheetId="13" r:id="rId16"/>
    <sheet state="visible" name="Room Details" sheetId="14" r:id="rId17"/>
    <sheet state="visible" name="Maintenance_Mar26" sheetId="15" r:id="rId18"/>
    <sheet state="visible" name="Maintenance_May26" sheetId="16" r:id="rId19"/>
    <sheet state="visible" name="Account change" sheetId="17" r:id="rId20"/>
  </sheets>
  <definedNames>
    <definedName hidden="1" localSheetId="9" name="_xlnm._FilterDatabase">Expenses!$C$1:$C$1208</definedName>
    <definedName hidden="1" localSheetId="13" name="_xlnm._FilterDatabase">'Room Details'!$B$3:$E$43</definedName>
  </definedNames>
  <calcPr/>
  <extLst>
    <ext uri="GoogleSheetsCustomDataVersion2">
      <go:sheetsCustomData xmlns:go="http://customooxmlschemas.google.com/" r:id="rId21" roundtripDataChecksum="4K9c38AQKVuYEBqiV0qKNm9A84pSx68LXluNCsBYGqs="/>
    </ext>
  </extLst>
</workbook>
</file>

<file path=xl/sharedStrings.xml><?xml version="1.0" encoding="utf-8"?>
<sst xmlns="http://schemas.openxmlformats.org/spreadsheetml/2006/main" count="1026" uniqueCount="365">
  <si>
    <t>Iyer Sir Room Maintenance</t>
  </si>
  <si>
    <t>Maintenance rate till July 2022</t>
  </si>
  <si>
    <t>1 Rs. / Sq. Ft.</t>
  </si>
  <si>
    <t>Maintenance from Aug 2022</t>
  </si>
  <si>
    <t>1 RK - 800 Rs.
1 BHK - 1000 Rs.
2 BHK - 1100 Rs.</t>
  </si>
  <si>
    <t>Flat No</t>
  </si>
  <si>
    <t>Area(Sq. Ft.)</t>
  </si>
  <si>
    <t>Move In Month</t>
  </si>
  <si>
    <t>Particulars</t>
  </si>
  <si>
    <t>Total</t>
  </si>
  <si>
    <t>350(1 RK)</t>
  </si>
  <si>
    <t>June - July -&gt; Rs. 700
Aug - Sep -&gt; Rs. 1600</t>
  </si>
  <si>
    <t>550(1 BHK)</t>
  </si>
  <si>
    <t>June - July -&gt; Rs. 1100
Aug - Sep -&gt; Rs. 2000</t>
  </si>
  <si>
    <t>560(1 BHK)</t>
  </si>
  <si>
    <t>May - July -&gt; Rs. 1680
Aug - Sep -&gt; Rs. 2000</t>
  </si>
  <si>
    <t>400(1 RK)</t>
  </si>
  <si>
    <t>June - July -&gt; Rs. 800
Aug - Sep -&gt; Rs. 1600</t>
  </si>
  <si>
    <t>775(2 BHK)</t>
  </si>
  <si>
    <t>Aug - Sep -&gt; Rs. 2200</t>
  </si>
  <si>
    <t>570(1 BHK)</t>
  </si>
  <si>
    <t>July -&gt; Rs. 570
Aug - Sep -&gt; Rs. 2000</t>
  </si>
  <si>
    <t>June - July -&gt; Rs. 1200
Aug - Sep -&gt; Rs. 2000</t>
  </si>
  <si>
    <t>Aug - Sep -&gt; Rs. 1600</t>
  </si>
  <si>
    <t>Aug - Sep -&gt; Rs. 2000</t>
  </si>
  <si>
    <t>M/s Bhavani Paradise</t>
  </si>
  <si>
    <t>Bhavani Paradise, Ravikiran society, Chera Nagar, Manpada rd., Dombivli East - 421 201</t>
  </si>
  <si>
    <t>Monthly Maintenance</t>
  </si>
  <si>
    <t>Flat No
\
Month-Year</t>
  </si>
  <si>
    <t>ca</t>
  </si>
  <si>
    <t>Debits</t>
  </si>
  <si>
    <t>Credits</t>
  </si>
  <si>
    <t>Sr no.</t>
  </si>
  <si>
    <t>Description</t>
  </si>
  <si>
    <t>Amount</t>
  </si>
  <si>
    <t>Flat no.</t>
  </si>
  <si>
    <t>Name</t>
  </si>
  <si>
    <t>Maintainance Paid ( From April 21 - Till Date )</t>
  </si>
  <si>
    <t>Total Expenses</t>
  </si>
  <si>
    <t>Maintenance Income</t>
  </si>
  <si>
    <t>Other Income</t>
  </si>
  <si>
    <t>Society Dues</t>
  </si>
  <si>
    <t>Balance</t>
  </si>
  <si>
    <t>Mr. &amp; Mrs. Sawant</t>
  </si>
  <si>
    <t>Mr. &amp; Mrs. Sonar</t>
  </si>
  <si>
    <t>Mr. Lokesh &amp; family</t>
  </si>
  <si>
    <t>Mr. &amp; Mrs.Kamble</t>
  </si>
  <si>
    <t>Mr. &amp; Mrs. Vyas</t>
  </si>
  <si>
    <t>Mr. &amp; Mrs. Kadam</t>
  </si>
  <si>
    <t>Mr. &amp; Mrs. Gadekar</t>
  </si>
  <si>
    <t>Mr Vyas Family</t>
  </si>
  <si>
    <t>Total Maintainance</t>
  </si>
  <si>
    <t>Total Expense</t>
  </si>
  <si>
    <t>Total Savings</t>
  </si>
  <si>
    <t>Property Tax and Water Bill</t>
  </si>
  <si>
    <t>CCTV Installation Collection</t>
  </si>
  <si>
    <t>Room No.</t>
  </si>
  <si>
    <t>Date</t>
  </si>
  <si>
    <t>Property Tax for 3 years (2019, 2020, 2021)
Water Bill for 2 years (2019, 2020)</t>
  </si>
  <si>
    <t>Property Tax for 3 years (2019, 2020, 2021)</t>
  </si>
  <si>
    <t>Property Tax for 2 years (2020, 2021)
Water Bill for 1 year (2020)</t>
  </si>
  <si>
    <t>Property Tax for 2.6 years (2019(6 Mo), 2020, 2021)
Water Bill for 2 years (2019(6 Mo), 2020)</t>
  </si>
  <si>
    <t>16-Map-22</t>
  </si>
  <si>
    <t>Water Bill for 2 years (2019, 2020)</t>
  </si>
  <si>
    <t>Transfered to builder</t>
  </si>
  <si>
    <t>Iyer Sir Rooms</t>
  </si>
  <si>
    <t>Property Tax and Water bill</t>
  </si>
  <si>
    <t>1 Year property tax</t>
  </si>
  <si>
    <t>1 Year Water Bill</t>
  </si>
  <si>
    <t>Paid</t>
  </si>
  <si>
    <t>Pending</t>
  </si>
  <si>
    <t>Builder 4 Gala</t>
  </si>
  <si>
    <t>Maintenance May 2021 to June 2022</t>
  </si>
  <si>
    <t>11 months maintenance from Nov 22 to Sep 23 total Rs. 8800 deposited through cash with Amit Vyas. 
Amount deposited in society account</t>
  </si>
  <si>
    <t>4 Months maintenance from Oct 23 to Jan 24 total Rs. 3200 deposited through cash with Amit Vyas.
Amount deposited in society account</t>
  </si>
  <si>
    <t>Maintenance deposit Rs. 10000 in society account</t>
  </si>
  <si>
    <t>5 Months maintenace from Oct 22 to Feb 23 total Rs. 5000 deposited through cash with Amit Vyas.
Amount deposited in society account.</t>
  </si>
  <si>
    <t>Maintenance deposit Rs. 4300 in society account</t>
  </si>
  <si>
    <t>5 Months maintenance from Mar 23 to Jul 23 total Rs. 5000 deposited through cash with Amit Vyas</t>
  </si>
  <si>
    <t>5 Months maintenance from Apr 24 to Aug 24 total Rs. 5000 deposited through UPI with Amit Vyas</t>
  </si>
  <si>
    <t>1 Month maintenancefor Aug 2023 total rs 1000 deposited through cash with Amit Vyas</t>
  </si>
  <si>
    <t>1 Month maintenancefor Sep 2023 total rs 1000 deposited through cash with Amit Vyas</t>
  </si>
  <si>
    <t>1 Month maintenancefor Oct 2023 total rs 1000 deposited through cash with Amit Vyas</t>
  </si>
  <si>
    <t>10000 Transferred to society account for maintenance of June 22 to Dec 23</t>
  </si>
  <si>
    <t>4400 Transferred to society account for maintenance of June 22 to Dec 23</t>
  </si>
  <si>
    <t>2 months maintenance for nov dec 2023 total rs 2000 received through cash by Amit Vyas</t>
  </si>
  <si>
    <t>2000 Deposited for maintenance. Apr - Jun 24</t>
  </si>
  <si>
    <t>1 month maintenance for Jan 2024 total rs 1000 received through cash by Amit Vyas</t>
  </si>
  <si>
    <t>2000 Deposited for maintenance. Jun - Aug 24</t>
  </si>
  <si>
    <t>1 month maintenance for Feb 2024 total rs 1000 received through cash by Amit Vyas</t>
  </si>
  <si>
    <t>1 month maintenance for Mar 2024 total rs 1000 received through cash by Amit Vyas</t>
  </si>
  <si>
    <t>1 month maintenance for Jun 2026 total rs 1000 received through cash by Amit Vyas</t>
  </si>
  <si>
    <t>1 month maintenance for Apr 2024 total rs 1000 received through cash by Amit Vyas</t>
  </si>
  <si>
    <t>1 month maintenance for May 2024 total rs 1000 received through cash by Amit Vyas</t>
  </si>
  <si>
    <t>1 month maintenance for Jun 2024 total rs 1000 received through cash by Amit Vyas</t>
  </si>
  <si>
    <t>Pending Maintenance</t>
  </si>
  <si>
    <t>Building Account from May-21</t>
  </si>
  <si>
    <t>Aug-22 to Jun-23</t>
  </si>
  <si>
    <t>Owners maintenance collection</t>
  </si>
  <si>
    <t>Iyer sir maintenance collection</t>
  </si>
  <si>
    <t>Jun-22 to Jun-23</t>
  </si>
  <si>
    <t>Ravi Kiran Society Maintenance Paid</t>
  </si>
  <si>
    <t>Due to Arif Khan</t>
  </si>
  <si>
    <t>Balance in society account</t>
  </si>
  <si>
    <t>Maintenamce Payments</t>
  </si>
  <si>
    <t>Cheque 136601</t>
  </si>
  <si>
    <t>Cheque</t>
  </si>
  <si>
    <t>Sr.No.</t>
  </si>
  <si>
    <t>Water tank Lid</t>
  </si>
  <si>
    <t>CCTV</t>
  </si>
  <si>
    <t>Maintenace Payments</t>
  </si>
  <si>
    <t>Builder Dues</t>
  </si>
  <si>
    <t>Miscelaneous Expenses</t>
  </si>
  <si>
    <t>2025 2026 Lift Maintenance</t>
  </si>
  <si>
    <t>Water Connection</t>
  </si>
  <si>
    <t>Apr Elec Bill</t>
  </si>
  <si>
    <t>Bharat Chember cleaning</t>
  </si>
  <si>
    <t>Back Ground cleaning</t>
  </si>
  <si>
    <t>/</t>
  </si>
  <si>
    <t>Expense</t>
  </si>
  <si>
    <t>Electricity Bill</t>
  </si>
  <si>
    <t>April Electricity Bill</t>
  </si>
  <si>
    <t>Maintenance</t>
  </si>
  <si>
    <t>Safaiwala May Pagar</t>
  </si>
  <si>
    <t>3 Water Tank Cleaning</t>
  </si>
  <si>
    <t>Water Tanker</t>
  </si>
  <si>
    <t>May Electricity Bill</t>
  </si>
  <si>
    <t>Water Tank Repair Material</t>
  </si>
  <si>
    <t>Ground Tank Sliding</t>
  </si>
  <si>
    <t>Light Bulb, Focus and material</t>
  </si>
  <si>
    <t>Krishna Electrician Labour cost</t>
  </si>
  <si>
    <t>Safaiwala June Pagar</t>
  </si>
  <si>
    <t>Safaiwala jhadu supdi</t>
  </si>
  <si>
    <t>New Overhead Boring Tank Delivery Labour</t>
  </si>
  <si>
    <t>New Overhead Boring Tank Replacement(Paid by Builder) - Rs. 9000</t>
  </si>
  <si>
    <t>June Electricity Bill</t>
  </si>
  <si>
    <t>Overhead Boring Tank Connection Material</t>
  </si>
  <si>
    <t>Mantosh Overhead Tank Labour Cost</t>
  </si>
  <si>
    <t>Building Dustbin</t>
  </si>
  <si>
    <t>July Electricity Bill</t>
  </si>
  <si>
    <t>Safaiwala August Pagar</t>
  </si>
  <si>
    <t>Building Wiper</t>
  </si>
  <si>
    <t>Electrical wire repair</t>
  </si>
  <si>
    <t>August Electricity Bill</t>
  </si>
  <si>
    <t>Safaiwala September Pagar</t>
  </si>
  <si>
    <t>Water Pipe damage</t>
  </si>
  <si>
    <t>September Electricity Bill</t>
  </si>
  <si>
    <t>Neemraj Sawaiwala Pagar</t>
  </si>
  <si>
    <t>Dushera Token</t>
  </si>
  <si>
    <t>Dhanesh Parking slope repair</t>
  </si>
  <si>
    <t>Oct Electricity Bill</t>
  </si>
  <si>
    <t>Neemraj Safaiwala Pagar</t>
  </si>
  <si>
    <t>Nov Electricity Bill</t>
  </si>
  <si>
    <t>Duplicate Key (2 Gate / 1 Paani Tank)</t>
  </si>
  <si>
    <t>2 Kharata 1 Phool jhadu</t>
  </si>
  <si>
    <t>Dec Electricity Bill</t>
  </si>
  <si>
    <t>Safaiwala Pagar</t>
  </si>
  <si>
    <t>Jan Electricity Bill</t>
  </si>
  <si>
    <t>Electric Repair</t>
  </si>
  <si>
    <t>Road Water Pipe Repair</t>
  </si>
  <si>
    <t>Puran Safaiwala Pagar</t>
  </si>
  <si>
    <t>Feb Electricity Bill</t>
  </si>
  <si>
    <t>Puran Safaiwala Advance</t>
  </si>
  <si>
    <t>Mar Electricity Bill</t>
  </si>
  <si>
    <t>Puran Jhadu</t>
  </si>
  <si>
    <t>Puran Pagar</t>
  </si>
  <si>
    <t>Apr Electricity Bill</t>
  </si>
  <si>
    <t>Plumber (104 &amp; duct)</t>
  </si>
  <si>
    <t>Gate lock and stoper</t>
  </si>
  <si>
    <t>Gate lock duplicate Key - 15</t>
  </si>
  <si>
    <t>Bharat Jhadu</t>
  </si>
  <si>
    <t>Bharat Pagar</t>
  </si>
  <si>
    <t>Mantosh boring taki leakage fix</t>
  </si>
  <si>
    <t>3 Taaki Safai</t>
  </si>
  <si>
    <t>Jhadu</t>
  </si>
  <si>
    <t>Jhadu aur Kachra Dabba</t>
  </si>
  <si>
    <t>10 Led Bulb</t>
  </si>
  <si>
    <t>Aug Electricity Bill</t>
  </si>
  <si>
    <t>Dubey Majdoori (201, 301, 401 paani line direct)</t>
  </si>
  <si>
    <t>Bharat Pager</t>
  </si>
  <si>
    <t>1 Holder 5th floor</t>
  </si>
  <si>
    <t>Upar ka peene ki taaki safai (Chipkali)</t>
  </si>
  <si>
    <t>Upar uar niche ki taaki ka dhakkan</t>
  </si>
  <si>
    <t>3 chember safai</t>
  </si>
  <si>
    <t>15 LED Bulbs</t>
  </si>
  <si>
    <t>Focus Light Exchange</t>
  </si>
  <si>
    <t>Electricial - 1 phase fuse spark issue</t>
  </si>
  <si>
    <t>CCTV advance payment</t>
  </si>
  <si>
    <t>CCTV final payment</t>
  </si>
  <si>
    <t>Dec Elec Bill</t>
  </si>
  <si>
    <t>Kachra Dabba</t>
  </si>
  <si>
    <t>Chember Safai</t>
  </si>
  <si>
    <t>Electrician - Lift sockets and water pump fuse material and labour</t>
  </si>
  <si>
    <t>Gate Keys</t>
  </si>
  <si>
    <t>Naya Chember (1000 Samaan, 500 Labor)</t>
  </si>
  <si>
    <t>Jalpari fitting</t>
  </si>
  <si>
    <t>Jalpari &amp; panel electric material and fitting</t>
  </si>
  <si>
    <t>Latreen taaki repairing (480 samaan, 400 labor)</t>
  </si>
  <si>
    <t>Jalpari MCB cutout</t>
  </si>
  <si>
    <t>Jalpari plumbing material</t>
  </si>
  <si>
    <t>Mara hua kutta fekne ka</t>
  </si>
  <si>
    <t>Jhadu aur lamba danda</t>
  </si>
  <si>
    <t>Ravi Kiran Society Maint from Apr-22 till May-23 (17150 - Deducted in cheque)</t>
  </si>
  <si>
    <t>Tanker</t>
  </si>
  <si>
    <t>Peena ka paani khichne waali Motor kharch
Motor                                        12100
Plumbing samaan                860
Cutput and 5 meter wire        1340
Electric Samaan                        550
Rikshaw bhada                        350
Wireman Labor                        500
Plumber labor                        400
Elbow &amp; T                                70</t>
  </si>
  <si>
    <t>Terrace Patra gap cover + Water proofing      1280
1 goni cement + 1 MCeil                                    410
Majdoori  Dubey                                                 500
Majdoori  Bharat                                                 200</t>
  </si>
  <si>
    <t>Peene k Pani ki Taaki safai</t>
  </si>
  <si>
    <t>Boring Panel Check</t>
  </si>
  <si>
    <t>Boring Motor Repair (Nikalna, Installation, Rapair)</t>
  </si>
  <si>
    <t>Water Pipe 100 ft</t>
  </si>
  <si>
    <t>Boring Panel Amp Meter</t>
  </si>
  <si>
    <t>Boring Panel Repair Labor</t>
  </si>
  <si>
    <t>Dushera Toran</t>
  </si>
  <si>
    <t>Salary</t>
  </si>
  <si>
    <t>Paani Taaki Cleanking</t>
  </si>
  <si>
    <t>Chember cleaning</t>
  </si>
  <si>
    <t>Boring Fuse change labour</t>
  </si>
  <si>
    <t>Boring Fuse Dinesh</t>
  </si>
  <si>
    <t>Mara kutta fekne ka</t>
  </si>
  <si>
    <t>Chember Cleaning</t>
  </si>
  <si>
    <t>Bharat pagar</t>
  </si>
  <si>
    <t>Lift Break Coil replacement</t>
  </si>
  <si>
    <t>Terrace duplicate keys - 2</t>
  </si>
  <si>
    <t>CCTV installation</t>
  </si>
  <si>
    <t>Paani Meter box pe garam hawa maarneka</t>
  </si>
  <si>
    <t>Paani khichne ki motor ka starter</t>
  </si>
  <si>
    <t>Lift Maintenance</t>
  </si>
  <si>
    <t>Bharat Aug Pagar</t>
  </si>
  <si>
    <t>Building lock 2 dup key</t>
  </si>
  <si>
    <t>Building drain cleaning + Acid</t>
  </si>
  <si>
    <t>Bharat Sep Pagar</t>
  </si>
  <si>
    <t>Bharat Jul Pagar</t>
  </si>
  <si>
    <t>Jul + Aug Electricity Bill</t>
  </si>
  <si>
    <t>Bharat Oct Pagar</t>
  </si>
  <si>
    <t>Jhadu + Viper</t>
  </si>
  <si>
    <t>Lift Light</t>
  </si>
  <si>
    <t>Kachra Gaadi Diwali</t>
  </si>
  <si>
    <t>Bike Parking color (1100 color, 1500 labor)</t>
  </si>
  <si>
    <t>Bharat Nov Pagar</t>
  </si>
  <si>
    <t>Dushera &amp; Diwali toran</t>
  </si>
  <si>
    <t>CCTV power adapter replacement + Lift CCTV repair</t>
  </si>
  <si>
    <t>Bharat Paani motor filter cleaning</t>
  </si>
  <si>
    <t>Bharat Dec Pagar</t>
  </si>
  <si>
    <t>Boring panel repair</t>
  </si>
  <si>
    <t>Dhanesh gala corridor tile fitting</t>
  </si>
  <si>
    <t>Bharat chembur cleaning</t>
  </si>
  <si>
    <t>New boring motor</t>
  </si>
  <si>
    <t>Nov Elec Bill</t>
  </si>
  <si>
    <t>Lift wire change</t>
  </si>
  <si>
    <t>Lift bell + spring + wire</t>
  </si>
  <si>
    <t>Elec wire short - 500 Dinesh wire, 500 Dinesh labor, 200 MSCB commission</t>
  </si>
  <si>
    <t>Bharat Jan pagar</t>
  </si>
  <si>
    <t>Bharat Feb pagar</t>
  </si>
  <si>
    <t>Dubey 3 jagah repairing aur samaan</t>
  </si>
  <si>
    <t>Bharat Mar pagar</t>
  </si>
  <si>
    <t>Dinesh Building Electric work (Lighting)</t>
  </si>
  <si>
    <t>Bharat Apr Pagar</t>
  </si>
  <si>
    <t>Bharat May Pagar</t>
  </si>
  <si>
    <t>Bharat Jun Pagar</t>
  </si>
  <si>
    <t>Jun Electricity Bill</t>
  </si>
  <si>
    <t>Jul Electricity Bill</t>
  </si>
  <si>
    <t>Sep Electricity Bill</t>
  </si>
  <si>
    <t>CCTV Power Supply Chnage</t>
  </si>
  <si>
    <t>Boring Motor Repair</t>
  </si>
  <si>
    <t>Feb Electricity Bill - duplicate</t>
  </si>
  <si>
    <t>Taaki Cleaning</t>
  </si>
  <si>
    <t>Builder Expenses
Water Connection                                                                                                                    80000
2 Year Lift Maintenance (2025 - 2026)                                                                                 20000
3 Years Lift Maintenance (2022 - 2024)                                                                               26000
Plumber - Line Connection                                                                                                    22000
Light Board                                                                                                                                 2100
Mahesh Chember Repair                                                                                                         4500
Parking + Building Light                                                                                                            4000
Hafiz Light Labour                                                                                                                      4300
Meter Cabin Light                                                                                                                        825
Meter Cabin cutout                                                                                                                   2600
Light Labour                                                                                                                                  500
Paani Taaki Grill                                                                                                                        14000
Passage + Ground + Shed color                                                                                               8000
Cutout                                                                                                                                          4500
Bill Book                                                                                                                                       1100
Back ground clearing                                                                                                                 1800</t>
  </si>
  <si>
    <t>Apr Electricity Bill - Duplicate</t>
  </si>
  <si>
    <t>BuilderExpenses
Apr Electrcity Bill                                                                                                                    13500
Bharat Chember Cleaning                                                                                                       1000
Backround cleaning                                                                                                                  2500</t>
  </si>
  <si>
    <t>Society dues</t>
  </si>
  <si>
    <t>Due To</t>
  </si>
  <si>
    <t>Due Amount</t>
  </si>
  <si>
    <t>Status</t>
  </si>
  <si>
    <t>Paid on</t>
  </si>
  <si>
    <t>Iyer Sir Maintenance
Cheque 136601</t>
  </si>
  <si>
    <t>201 Property Tax</t>
  </si>
  <si>
    <t>Arif Khan</t>
  </si>
  <si>
    <t>Interest in account</t>
  </si>
  <si>
    <t>Peena ka paani khichne waali Motor</t>
  </si>
  <si>
    <t>Purane Taaki dhakkan bhangar</t>
  </si>
  <si>
    <t>306 Property Tax</t>
  </si>
  <si>
    <t>Iyer Sir Maintenance
Cheque</t>
  </si>
  <si>
    <t>401 Property Tax</t>
  </si>
  <si>
    <t>FD Interest</t>
  </si>
  <si>
    <t>401 Water Bill</t>
  </si>
  <si>
    <t>From CCTV collection</t>
  </si>
  <si>
    <t>Iyer Sir Maintenance Cheque</t>
  </si>
  <si>
    <t>CCTV damage recovery</t>
  </si>
  <si>
    <t>Iyer Sir Maintenance</t>
  </si>
  <si>
    <t>Cashback</t>
  </si>
  <si>
    <t>001</t>
  </si>
  <si>
    <t xml:space="preserve"> 2023</t>
  </si>
  <si>
    <t>2024</t>
  </si>
  <si>
    <t>2025</t>
  </si>
  <si>
    <t>Bhavani Paradise Room Details</t>
  </si>
  <si>
    <t>Room No</t>
  </si>
  <si>
    <t>Owner Name</t>
  </si>
  <si>
    <t>Area(Sq.Ft.)</t>
  </si>
  <si>
    <t>Move In Date</t>
  </si>
  <si>
    <t>101</t>
  </si>
  <si>
    <t>Iyer Sir</t>
  </si>
  <si>
    <t>Sandeep Kedaskar</t>
  </si>
  <si>
    <t>Vijay Sawant</t>
  </si>
  <si>
    <t>103</t>
  </si>
  <si>
    <t>104</t>
  </si>
  <si>
    <t>105</t>
  </si>
  <si>
    <t>106</t>
  </si>
  <si>
    <t>Builder</t>
  </si>
  <si>
    <t>NA</t>
  </si>
  <si>
    <t>107</t>
  </si>
  <si>
    <t>201</t>
  </si>
  <si>
    <t>Mushtak Shaikh</t>
  </si>
  <si>
    <t>202</t>
  </si>
  <si>
    <t>Vaibhavi More</t>
  </si>
  <si>
    <t>203</t>
  </si>
  <si>
    <t>Umesh Chabuk</t>
  </si>
  <si>
    <t>204</t>
  </si>
  <si>
    <t>Avinash Jaiswal</t>
  </si>
  <si>
    <t>205</t>
  </si>
  <si>
    <t>Lokesh Gupta</t>
  </si>
  <si>
    <t>206</t>
  </si>
  <si>
    <t>207</t>
  </si>
  <si>
    <t>Rahul Utekar</t>
  </si>
  <si>
    <t>301</t>
  </si>
  <si>
    <t>Sitaram Kamble</t>
  </si>
  <si>
    <t>302</t>
  </si>
  <si>
    <t>Amit Vyas</t>
  </si>
  <si>
    <t>303</t>
  </si>
  <si>
    <t>Bharat Vyas</t>
  </si>
  <si>
    <t>304</t>
  </si>
  <si>
    <t>305</t>
  </si>
  <si>
    <t>306</t>
  </si>
  <si>
    <t>Dilip Kadam</t>
  </si>
  <si>
    <t>307</t>
  </si>
  <si>
    <t>Vijay Kumar</t>
  </si>
  <si>
    <t>401</t>
  </si>
  <si>
    <t>Omkar Gadekar</t>
  </si>
  <si>
    <t>402</t>
  </si>
  <si>
    <t>Suresh Vyas</t>
  </si>
  <si>
    <t>403</t>
  </si>
  <si>
    <t>404</t>
  </si>
  <si>
    <t>405</t>
  </si>
  <si>
    <t>Mahendra Vyas</t>
  </si>
  <si>
    <t>406</t>
  </si>
  <si>
    <t>407</t>
  </si>
  <si>
    <t>501</t>
  </si>
  <si>
    <t>502</t>
  </si>
  <si>
    <t>Ajay Pandey</t>
  </si>
  <si>
    <t>504</t>
  </si>
  <si>
    <t>505</t>
  </si>
  <si>
    <t>506</t>
  </si>
  <si>
    <t>507</t>
  </si>
  <si>
    <t>Pending From</t>
  </si>
  <si>
    <t>Pending To</t>
  </si>
  <si>
    <t>Total Pending Months</t>
  </si>
  <si>
    <t>Total Pending Amount</t>
  </si>
  <si>
    <t>Kedaskar</t>
  </si>
  <si>
    <t>Sawant</t>
  </si>
  <si>
    <t>Till July End</t>
  </si>
  <si>
    <t>Audit History</t>
  </si>
  <si>
    <t>Maintenance Received</t>
  </si>
  <si>
    <t>Remark</t>
  </si>
  <si>
    <t>CCTV Payments</t>
  </si>
  <si>
    <t>Account Matched</t>
  </si>
  <si>
    <t>Expenses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</si>
</sst>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mmmm yyyy"/>
    <numFmt numFmtId="165" formatCode="_ &quot;₹&quot;\ * #,##0_ ;_ &quot;₹&quot;\ * \-#,##0_ ;_ &quot;₹&quot;\ * &quot;-&quot;??_ ;_ @_ "/>
    <numFmt numFmtId="166" formatCode="_ &quot;₹&quot;\ * #,##0.00_ ;_ &quot;₹&quot;\ * \-#,##0.00_ ;_ &quot;₹&quot;\ * &quot;-&quot;??_ ;_ @_ "/>
    <numFmt numFmtId="167" formatCode="d mmm yyyy"/>
    <numFmt numFmtId="168" formatCode="d&quot;-&quot;mmm&quot;-&quot;yy"/>
    <numFmt numFmtId="169" formatCode="mmmm-d"/>
    <numFmt numFmtId="170" formatCode="mmm yyyy"/>
    <numFmt numFmtId="171" formatCode="d-mmm-yy"/>
    <numFmt numFmtId="172" formatCode="d-mmmm-yy"/>
    <numFmt numFmtId="173" formatCode="mmm\ yyyy"/>
    <numFmt numFmtId="174" formatCode="[$₹]#,##0"/>
  </numFmts>
  <fonts count="33">
    <font>
      <sz val="11.0"/>
      <color theme="1"/>
      <name val="Calibri"/>
      <scheme val="minor"/>
    </font>
    <font>
      <b/>
      <sz val="18.0"/>
      <color theme="1"/>
      <name val="Calibri"/>
    </font>
    <font/>
    <font>
      <b/>
      <sz val="14.0"/>
      <color theme="1"/>
      <name val="Calibri"/>
    </font>
    <font>
      <b/>
      <sz val="14.0"/>
      <color rgb="FFE7E6E6"/>
      <name val="Georgia"/>
    </font>
    <font>
      <b/>
      <sz val="16.0"/>
      <color rgb="FFE7E6E6"/>
      <name val="Georgia"/>
    </font>
    <font>
      <sz val="14.0"/>
      <color rgb="FF525252"/>
      <name val="Arial Black"/>
    </font>
    <font>
      <sz val="14.0"/>
      <color theme="1"/>
      <name val="Oswald"/>
    </font>
    <font>
      <sz val="13.0"/>
      <color theme="1"/>
      <name val="Oswald"/>
    </font>
    <font>
      <b/>
      <sz val="14.0"/>
      <color theme="1"/>
      <name val="Oswald"/>
    </font>
    <font>
      <b/>
      <sz val="11.0"/>
      <color theme="1"/>
      <name val="Calibri"/>
    </font>
    <font>
      <sz val="14.0"/>
      <color theme="1"/>
      <name val="Arial Black"/>
    </font>
    <font>
      <sz val="11.0"/>
      <color theme="1"/>
      <name val="Calibri"/>
    </font>
    <font>
      <sz val="16.0"/>
      <color rgb="FFE7E6E6"/>
      <name val="Georgia"/>
    </font>
    <font>
      <sz val="14.0"/>
      <color theme="1"/>
      <name val="Abadi"/>
    </font>
    <font>
      <color theme="1"/>
      <name val="Calibri"/>
      <scheme val="minor"/>
    </font>
    <font>
      <sz val="14.0"/>
      <color rgb="FF525252"/>
      <name val="Abadi"/>
    </font>
    <font>
      <sz val="14.0"/>
      <color rgb="FF525252"/>
      <name val="Arial"/>
    </font>
    <font>
      <sz val="14.0"/>
      <color theme="1"/>
      <name val="Arial"/>
    </font>
    <font>
      <b/>
      <color theme="1"/>
      <name val="Calibri"/>
      <scheme val="minor"/>
    </font>
    <font>
      <b/>
      <sz val="16.0"/>
      <color rgb="FFFFFFFF"/>
      <name val="Calibri"/>
      <scheme val="minor"/>
    </font>
    <font>
      <sz val="14.0"/>
      <color rgb="FFFF0000"/>
      <name val="Arial"/>
    </font>
    <font>
      <b/>
      <sz val="14.0"/>
      <color theme="1"/>
      <name val="Abadi"/>
    </font>
    <font>
      <b/>
      <sz val="14.0"/>
      <color rgb="FFFF0000"/>
      <name val="Abadi"/>
    </font>
    <font>
      <b/>
      <sz val="19.0"/>
      <color theme="1"/>
      <name val="Calibri"/>
      <scheme val="minor"/>
    </font>
    <font>
      <b/>
      <sz val="15.0"/>
      <color theme="1"/>
      <name val="Calibri"/>
      <scheme val="minor"/>
    </font>
    <font>
      <i/>
      <sz val="14.0"/>
      <color rgb="FF525252"/>
      <name val="Arial Black"/>
    </font>
    <font>
      <i/>
      <sz val="11.0"/>
      <color theme="1"/>
      <name val="Calibri"/>
    </font>
    <font>
      <i/>
      <color theme="1"/>
      <name val="Calibri"/>
      <scheme val="minor"/>
    </font>
    <font>
      <sz val="14.0"/>
      <color rgb="FFFF0000"/>
      <name val="Arial Black"/>
    </font>
    <font>
      <sz val="16.0"/>
      <color theme="1"/>
      <name val="Arial Black"/>
    </font>
    <font>
      <color theme="1"/>
      <name val="Arial"/>
    </font>
    <font>
      <b/>
      <sz val="14.0"/>
      <color theme="1"/>
      <name val="Calibri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FEF2CB"/>
        <bgColor rgb="FFFEF2CB"/>
      </patternFill>
    </fill>
    <fill>
      <patternFill patternType="solid">
        <fgColor theme="4"/>
        <bgColor theme="4"/>
      </patternFill>
    </fill>
    <fill>
      <patternFill patternType="solid">
        <fgColor rgb="FFD0CECE"/>
        <bgColor rgb="FFD0CECE"/>
      </patternFill>
    </fill>
    <fill>
      <patternFill patternType="solid">
        <fgColor rgb="FFE7E6E6"/>
        <bgColor rgb="FFE7E6E6"/>
      </patternFill>
    </fill>
    <fill>
      <patternFill patternType="solid">
        <fgColor theme="9"/>
        <bgColor theme="9"/>
      </patternFill>
    </fill>
    <fill>
      <patternFill patternType="solid">
        <fgColor theme="7"/>
        <bgColor theme="7"/>
      </patternFill>
    </fill>
    <fill>
      <patternFill patternType="solid">
        <fgColor rgb="FFC5E0B3"/>
        <bgColor rgb="FFC5E0B3"/>
      </patternFill>
    </fill>
    <fill>
      <patternFill patternType="solid">
        <fgColor rgb="FFD6DCE4"/>
        <bgColor rgb="FFD6DCE4"/>
      </patternFill>
    </fill>
    <fill>
      <patternFill patternType="solid">
        <fgColor theme="0"/>
        <bgColor theme="0"/>
      </patternFill>
    </fill>
    <fill>
      <patternFill patternType="solid">
        <fgColor theme="5"/>
        <bgColor theme="5"/>
      </patternFill>
    </fill>
    <fill>
      <patternFill patternType="solid">
        <fgColor rgb="FFFFFF00"/>
        <bgColor rgb="FFFFFF00"/>
      </patternFill>
    </fill>
    <fill>
      <patternFill patternType="solid">
        <fgColor rgb="FF999999"/>
        <bgColor rgb="FF999999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30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/>
      <top/>
      <bottom/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3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0" fontId="2" numFmtId="0" xfId="0" applyBorder="1" applyFont="1"/>
    <xf borderId="4" fillId="2" fontId="3" numFmtId="0" xfId="0" applyBorder="1" applyFill="1" applyFont="1"/>
    <xf borderId="5" fillId="3" fontId="4" numFmtId="0" xfId="0" applyAlignment="1" applyBorder="1" applyFill="1" applyFont="1">
      <alignment horizontal="center" readingOrder="0" shrinkToFit="0" vertical="center" wrapText="1"/>
    </xf>
    <xf borderId="5" fillId="3" fontId="5" numFmtId="0" xfId="0" applyAlignment="1" applyBorder="1" applyFill="1" applyFont="1">
      <alignment horizontal="center" readingOrder="0" vertical="center"/>
    </xf>
    <xf borderId="5" fillId="4" fontId="6" numFmtId="0" xfId="0" applyAlignment="1" applyBorder="1" applyFill="1" applyFont="1">
      <alignment horizontal="center" readingOrder="0" vertical="center"/>
    </xf>
    <xf borderId="5" fillId="5" fontId="7" numFmtId="3" xfId="0" applyAlignment="1" applyBorder="1" applyFill="1" applyFont="1" applyNumberFormat="1">
      <alignment horizontal="center" readingOrder="0" vertical="center"/>
    </xf>
    <xf borderId="5" fillId="5" fontId="7" numFmtId="164" xfId="0" applyAlignment="1" applyBorder="1" applyFill="1" applyFont="1" applyNumberFormat="1">
      <alignment horizontal="center" readingOrder="0" vertical="center"/>
    </xf>
    <xf borderId="5" fillId="5" fontId="8" numFmtId="3" xfId="0" applyAlignment="1" applyBorder="1" applyFill="1" applyFont="1" applyNumberFormat="1">
      <alignment horizontal="center" readingOrder="0" vertical="center"/>
    </xf>
    <xf borderId="5" fillId="5" fontId="7" numFmtId="165" xfId="0" applyAlignment="1" applyBorder="1" applyFill="1" applyFont="1" applyNumberFormat="1">
      <alignment horizontal="center" readingOrder="0" vertical="center"/>
    </xf>
    <xf borderId="5" fillId="5" fontId="9" numFmtId="0" xfId="0" applyAlignment="1" applyBorder="1" applyFill="1" applyFont="1">
      <alignment horizontal="center" readingOrder="0" vertical="center"/>
    </xf>
    <xf borderId="5" fillId="5" fontId="9" numFmtId="165" xfId="0" applyAlignment="1" applyBorder="1" applyFill="1" applyFont="1" applyNumberFormat="1">
      <alignment horizontal="center" readingOrder="0" vertical="center"/>
    </xf>
    <xf borderId="6" fillId="2" fontId="3" numFmtId="0" xfId="0" applyBorder="1" applyFill="1" applyFont="1"/>
    <xf borderId="7" fillId="2" fontId="3" numFmtId="0" xfId="0" applyBorder="1" applyFill="1" applyFont="1"/>
    <xf borderId="8" fillId="2" fontId="10" numFmtId="0" xfId="0" applyBorder="1" applyFill="1" applyFont="1"/>
    <xf borderId="5" fillId="2" fontId="10" numFmtId="0" xfId="0" applyBorder="1" applyFill="1" applyFont="1"/>
    <xf borderId="9" fillId="2" fontId="10" numFmtId="17" xfId="0" applyBorder="1" applyFill="1" applyFont="1" applyNumberFormat="1"/>
    <xf borderId="10" fillId="2" fontId="10" numFmtId="0" xfId="0" applyAlignment="1" applyBorder="1" applyFill="1" applyFont="1">
      <alignment horizontal="center"/>
    </xf>
    <xf borderId="11" fillId="2" fontId="10" numFmtId="0" xfId="0" applyBorder="1" applyFill="1" applyFont="1"/>
    <xf borderId="8" fillId="3" fontId="4" numFmtId="0" xfId="0" applyAlignment="1" applyBorder="1" applyFill="1" applyFont="1">
      <alignment horizontal="center" shrinkToFit="0" vertical="center" wrapText="1"/>
    </xf>
    <xf borderId="12" fillId="3" fontId="5" numFmtId="0" xfId="0" applyAlignment="1" applyBorder="1" applyFill="1" applyFont="1">
      <alignment horizontal="center" vertical="center"/>
    </xf>
    <xf borderId="5" fillId="4" fontId="6" numFmtId="17" xfId="0" applyAlignment="1" applyBorder="1" applyFill="1" applyFont="1" applyNumberFormat="1">
      <alignment horizontal="center" vertical="center"/>
    </xf>
    <xf borderId="5" fillId="5" fontId="11" numFmtId="165" xfId="0" applyAlignment="1" applyBorder="1" applyFill="1" applyFont="1" applyNumberFormat="1">
      <alignment horizontal="center"/>
    </xf>
    <xf borderId="5" fillId="5" fontId="11" numFmtId="0" xfId="0" applyAlignment="1" applyBorder="1" applyFill="1" applyFont="1">
      <alignment horizontal="center"/>
    </xf>
    <xf borderId="5" fillId="4" fontId="6" numFmtId="17" xfId="0" applyAlignment="1" applyBorder="1" applyFill="1" applyFont="1" applyNumberFormat="1">
      <alignment horizontal="center" readingOrder="0" vertical="center"/>
    </xf>
    <xf borderId="5" fillId="4" fontId="6" numFmtId="15" xfId="0" applyAlignment="1" applyBorder="1" applyFill="1" applyFont="1" applyNumberFormat="1">
      <alignment horizontal="center" vertical="center"/>
    </xf>
    <xf borderId="5" fillId="6" fontId="11" numFmtId="165" xfId="0" applyAlignment="1" applyBorder="1" applyFill="1" applyFont="1" applyNumberFormat="1">
      <alignment horizontal="center"/>
    </xf>
    <xf borderId="11" fillId="4" fontId="12" numFmtId="0" xfId="0" applyBorder="1" applyFill="1" applyFont="1"/>
    <xf borderId="1" fillId="2" fontId="3" numFmtId="0" xfId="0" applyAlignment="1" applyBorder="1" applyFill="1" applyFont="1">
      <alignment horizontal="center" readingOrder="0"/>
    </xf>
    <xf borderId="13" fillId="0" fontId="2" numFmtId="0" xfId="0" applyBorder="1" applyFont="1"/>
    <xf borderId="14" fillId="2" fontId="10" numFmtId="0" xfId="0" applyAlignment="1" applyBorder="1" applyFill="1" applyFont="1">
      <alignment horizontal="center"/>
    </xf>
    <xf borderId="15" fillId="0" fontId="2" numFmtId="0" xfId="0" applyBorder="1" applyFont="1"/>
    <xf borderId="16" fillId="0" fontId="2" numFmtId="0" xfId="0" applyBorder="1" applyFont="1"/>
    <xf borderId="17" fillId="7" fontId="10" numFmtId="0" xfId="0" applyAlignment="1" applyBorder="1" applyFill="1" applyFont="1">
      <alignment horizontal="center"/>
    </xf>
    <xf borderId="18" fillId="2" fontId="10" numFmtId="0" xfId="0" applyAlignment="1" applyBorder="1" applyFill="1" applyFont="1">
      <alignment horizontal="center"/>
    </xf>
    <xf borderId="19" fillId="0" fontId="2" numFmtId="0" xfId="0" applyBorder="1" applyFont="1"/>
    <xf borderId="20" fillId="0" fontId="2" numFmtId="0" xfId="0" applyBorder="1" applyFont="1"/>
    <xf borderId="9" fillId="2" fontId="10" numFmtId="0" xfId="0" applyBorder="1" applyFill="1" applyFont="1"/>
    <xf borderId="8" fillId="0" fontId="10" numFmtId="0" xfId="0" applyAlignment="1" applyBorder="1" applyFont="1">
      <alignment horizontal="center" vertical="center"/>
    </xf>
    <xf borderId="5" fillId="0" fontId="10" numFmtId="0" xfId="0" applyAlignment="1" applyBorder="1" applyFont="1">
      <alignment horizontal="center" vertical="center"/>
    </xf>
    <xf borderId="5" fillId="0" fontId="10" numFmtId="0" xfId="0" applyAlignment="1" applyBorder="1" applyFont="1">
      <alignment shrinkToFit="0" wrapText="1"/>
    </xf>
    <xf borderId="5" fillId="0" fontId="12" numFmtId="0" xfId="0" applyBorder="1" applyFont="1"/>
    <xf borderId="9" fillId="0" fontId="12" numFmtId="0" xfId="0" applyBorder="1" applyFont="1"/>
    <xf borderId="5" fillId="3" fontId="13" numFmtId="0" xfId="0" applyAlignment="1" applyBorder="1" applyFill="1" applyFont="1">
      <alignment horizontal="center" vertical="center"/>
    </xf>
    <xf borderId="8" fillId="0" fontId="12" numFmtId="0" xfId="0" applyBorder="1" applyFont="1"/>
    <xf borderId="5" fillId="0" fontId="12" numFmtId="165" xfId="0" applyBorder="1" applyFont="1" applyNumberFormat="1"/>
    <xf borderId="5" fillId="0" fontId="14" numFmtId="166" xfId="0" applyAlignment="1" applyBorder="1" applyFont="1" applyNumberFormat="1">
      <alignment horizontal="center" vertical="center"/>
    </xf>
    <xf borderId="0" fillId="0" fontId="12" numFmtId="0" xfId="0" applyFont="1"/>
    <xf borderId="21" fillId="0" fontId="12" numFmtId="0" xfId="0" applyBorder="1" applyFont="1"/>
    <xf borderId="5" fillId="2" fontId="10" numFmtId="165" xfId="0" applyBorder="1" applyFill="1" applyFont="1" applyNumberFormat="1"/>
    <xf borderId="9" fillId="2" fontId="10" numFmtId="165" xfId="0" applyBorder="1" applyFill="1" applyFont="1" applyNumberFormat="1"/>
    <xf borderId="22" fillId="8" fontId="10" numFmtId="0" xfId="0" applyAlignment="1" applyBorder="1" applyFill="1" applyFont="1">
      <alignment horizontal="center"/>
    </xf>
    <xf borderId="23" fillId="0" fontId="2" numFmtId="0" xfId="0" applyBorder="1" applyFont="1"/>
    <xf borderId="24" fillId="0" fontId="2" numFmtId="0" xfId="0" applyBorder="1" applyFont="1"/>
    <xf borderId="25" fillId="8" fontId="10" numFmtId="165" xfId="0" applyBorder="1" applyFill="1" applyFont="1" applyNumberFormat="1"/>
    <xf borderId="26" fillId="0" fontId="2" numFmtId="0" xfId="0" applyBorder="1" applyFont="1"/>
    <xf borderId="25" fillId="2" fontId="10" numFmtId="0" xfId="0" applyBorder="1" applyFill="1" applyFont="1"/>
    <xf borderId="27" fillId="2" fontId="10" numFmtId="0" xfId="0" applyBorder="1" applyFill="1" applyFont="1"/>
    <xf borderId="0" fillId="0" fontId="15" numFmtId="0" xfId="0" applyFont="1"/>
    <xf borderId="5" fillId="9" fontId="14" numFmtId="0" xfId="0" applyAlignment="1" applyBorder="1" applyFill="1" applyFont="1">
      <alignment horizontal="center" vertical="center"/>
    </xf>
    <xf borderId="5" fillId="0" fontId="16" numFmtId="15" xfId="0" applyAlignment="1" applyBorder="1" applyFont="1" applyNumberFormat="1">
      <alignment horizontal="center" vertical="center"/>
    </xf>
    <xf borderId="5" fillId="10" fontId="14" numFmtId="0" xfId="0" applyAlignment="1" applyBorder="1" applyFill="1" applyFont="1">
      <alignment horizontal="left" shrinkToFit="0" vertical="center" wrapText="1"/>
    </xf>
    <xf borderId="5" fillId="0" fontId="17" numFmtId="15" xfId="0" applyAlignment="1" applyBorder="1" applyFont="1" applyNumberFormat="1">
      <alignment horizontal="center" readingOrder="0" vertical="center"/>
    </xf>
    <xf borderId="5" fillId="0" fontId="18" numFmtId="166" xfId="0" applyAlignment="1" applyBorder="1" applyFont="1" applyNumberFormat="1">
      <alignment horizontal="center" readingOrder="0" vertical="center"/>
    </xf>
    <xf borderId="5" fillId="0" fontId="14" numFmtId="166" xfId="0" applyBorder="1" applyFont="1" applyNumberFormat="1"/>
    <xf borderId="0" fillId="0" fontId="19" numFmtId="0" xfId="0" applyAlignment="1" applyFont="1">
      <alignment readingOrder="0"/>
    </xf>
    <xf borderId="5" fillId="9" fontId="18" numFmtId="0" xfId="0" applyAlignment="1" applyBorder="1" applyFill="1" applyFont="1">
      <alignment horizontal="center" readingOrder="0" vertical="center"/>
    </xf>
    <xf borderId="5" fillId="0" fontId="18" numFmtId="166" xfId="0" applyAlignment="1" applyBorder="1" applyFont="1" applyNumberFormat="1">
      <alignment readingOrder="0"/>
    </xf>
    <xf borderId="0" fillId="11" fontId="20" numFmtId="0" xfId="0" applyAlignment="1" applyFill="1" applyFont="1">
      <alignment readingOrder="0"/>
    </xf>
    <xf borderId="0" fillId="0" fontId="15" numFmtId="167" xfId="0" applyAlignment="1" applyFont="1" applyNumberFormat="1">
      <alignment readingOrder="0"/>
    </xf>
    <xf borderId="5" fillId="3" fontId="13" numFmtId="0" xfId="0" applyAlignment="1" applyBorder="1" applyFill="1" applyFont="1">
      <alignment horizontal="center" readingOrder="0" vertical="center"/>
    </xf>
    <xf borderId="5" fillId="0" fontId="21" numFmtId="166" xfId="0" applyAlignment="1" applyBorder="1" applyFont="1" applyNumberFormat="1">
      <alignment horizontal="center" readingOrder="0" vertical="center"/>
    </xf>
    <xf borderId="5" fillId="10" fontId="22" numFmtId="166" xfId="0" applyAlignment="1" applyBorder="1" applyFill="1" applyFont="1" applyNumberFormat="1">
      <alignment horizontal="left" shrinkToFit="0" vertical="center" wrapText="1"/>
    </xf>
    <xf borderId="5" fillId="10" fontId="23" numFmtId="166" xfId="0" applyAlignment="1" applyBorder="1" applyFill="1" applyFont="1" applyNumberFormat="1">
      <alignment horizontal="left" shrinkToFit="0" vertical="center" wrapText="1"/>
    </xf>
    <xf borderId="5" fillId="10" fontId="18" numFmtId="0" xfId="0" applyAlignment="1" applyBorder="1" applyFill="1" applyFont="1">
      <alignment horizontal="left" readingOrder="0" shrinkToFit="0" vertical="center" wrapText="1"/>
    </xf>
    <xf borderId="0" fillId="0" fontId="15" numFmtId="0" xfId="0" applyFont="1"/>
    <xf borderId="0" fillId="12" fontId="24" numFmtId="0" xfId="0" applyAlignment="1" applyFill="1" applyFont="1">
      <alignment readingOrder="0"/>
    </xf>
    <xf borderId="0" fillId="12" fontId="25" numFmtId="0" xfId="0" applyAlignment="1" applyFill="1" applyFont="1">
      <alignment readingOrder="0"/>
    </xf>
    <xf borderId="0" fillId="0" fontId="15" numFmtId="0" xfId="0" applyFont="1"/>
    <xf borderId="0" fillId="0" fontId="15" numFmtId="17" xfId="0" applyFont="1" applyNumberFormat="1"/>
    <xf borderId="0" fillId="0" fontId="15" numFmtId="165" xfId="0" applyFont="1" applyNumberFormat="1"/>
    <xf borderId="0" fillId="0" fontId="15" numFmtId="15" xfId="0" applyFont="1" applyNumberFormat="1"/>
    <xf borderId="12" fillId="13" fontId="5" numFmtId="0" xfId="0" applyAlignment="1" applyBorder="1" applyFill="1" applyFont="1">
      <alignment horizontal="center" readingOrder="0" vertical="center"/>
    </xf>
    <xf borderId="12" fillId="3" fontId="5" numFmtId="0" xfId="0" applyAlignment="1" applyBorder="1" applyFill="1" applyFont="1">
      <alignment horizontal="center" readingOrder="0" vertical="center"/>
    </xf>
    <xf borderId="5" fillId="5" fontId="11" numFmtId="165" xfId="0" applyAlignment="1" applyBorder="1" applyFill="1" applyFont="1" applyNumberFormat="1">
      <alignment horizontal="center" readingOrder="0"/>
    </xf>
    <xf borderId="5" fillId="4" fontId="6" numFmtId="168" xfId="0" applyAlignment="1" applyBorder="1" applyFill="1" applyFont="1" applyNumberFormat="1">
      <alignment horizontal="center" readingOrder="0" vertical="center"/>
    </xf>
    <xf borderId="5" fillId="5" fontId="18" numFmtId="0" xfId="0" applyAlignment="1" applyBorder="1" applyFill="1" applyFont="1">
      <alignment horizontal="left" readingOrder="0" shrinkToFit="0" vertical="center" wrapText="1"/>
    </xf>
    <xf borderId="5" fillId="5" fontId="11" numFmtId="0" xfId="0" applyAlignment="1" applyBorder="1" applyFill="1" applyFont="1">
      <alignment horizontal="center" readingOrder="0"/>
    </xf>
    <xf borderId="5" fillId="4" fontId="6" numFmtId="169" xfId="0" applyAlignment="1" applyBorder="1" applyFill="1" applyFont="1" applyNumberFormat="1">
      <alignment horizontal="center" readingOrder="0" vertical="center"/>
    </xf>
    <xf borderId="5" fillId="14" fontId="11" numFmtId="165" xfId="0" applyAlignment="1" applyBorder="1" applyFill="1" applyFont="1" applyNumberFormat="1">
      <alignment horizontal="center" readingOrder="0"/>
    </xf>
    <xf borderId="10" fillId="2" fontId="10" numFmtId="0" xfId="0" applyAlignment="1" applyBorder="1" applyFill="1" applyFont="1">
      <alignment horizontal="center" readingOrder="0"/>
    </xf>
    <xf borderId="5" fillId="4" fontId="6" numFmtId="170" xfId="0" applyAlignment="1" applyBorder="1" applyFill="1" applyFont="1" applyNumberFormat="1">
      <alignment horizontal="center" readingOrder="0" vertical="center"/>
    </xf>
    <xf borderId="5" fillId="0" fontId="6" numFmtId="15" xfId="0" applyAlignment="1" applyBorder="1" applyFont="1" applyNumberFormat="1">
      <alignment horizontal="center" vertical="center"/>
    </xf>
    <xf borderId="5" fillId="0" fontId="12" numFmtId="166" xfId="0" applyBorder="1" applyFont="1" applyNumberFormat="1"/>
    <xf borderId="5" fillId="0" fontId="6" numFmtId="15" xfId="0" applyAlignment="1" applyBorder="1" applyFont="1" applyNumberFormat="1">
      <alignment horizontal="center" readingOrder="0" vertical="center"/>
    </xf>
    <xf borderId="5" fillId="0" fontId="6" numFmtId="171" xfId="0" applyAlignment="1" applyBorder="1" applyFont="1" applyNumberFormat="1">
      <alignment horizontal="center" readingOrder="0" vertical="center"/>
    </xf>
    <xf borderId="5" fillId="0" fontId="12" numFmtId="0" xfId="0" applyAlignment="1" applyBorder="1" applyFont="1">
      <alignment readingOrder="0"/>
    </xf>
    <xf borderId="5" fillId="0" fontId="12" numFmtId="166" xfId="0" applyAlignment="1" applyBorder="1" applyFont="1" applyNumberFormat="1">
      <alignment readingOrder="0"/>
    </xf>
    <xf borderId="5" fillId="0" fontId="26" numFmtId="15" xfId="0" applyAlignment="1" applyBorder="1" applyFont="1" applyNumberFormat="1">
      <alignment horizontal="center" readingOrder="0" vertical="center"/>
    </xf>
    <xf borderId="5" fillId="0" fontId="27" numFmtId="0" xfId="0" applyAlignment="1" applyBorder="1" applyFont="1">
      <alignment readingOrder="0"/>
    </xf>
    <xf borderId="5" fillId="0" fontId="27" numFmtId="166" xfId="0" applyAlignment="1" applyBorder="1" applyFont="1" applyNumberFormat="1">
      <alignment readingOrder="0"/>
    </xf>
    <xf borderId="0" fillId="0" fontId="28" numFmtId="0" xfId="0" applyFont="1"/>
    <xf borderId="5" fillId="0" fontId="6" numFmtId="172" xfId="0" applyAlignment="1" applyBorder="1" applyFont="1" applyNumberFormat="1">
      <alignment horizontal="center" readingOrder="0" vertical="center"/>
    </xf>
    <xf borderId="5" fillId="0" fontId="10" numFmtId="0" xfId="0" applyBorder="1" applyFont="1"/>
    <xf borderId="5" fillId="0" fontId="10" numFmtId="166" xfId="0" applyBorder="1" applyFont="1" applyNumberFormat="1"/>
    <xf borderId="0" fillId="0" fontId="12" numFmtId="166" xfId="0" applyFont="1" applyNumberFormat="1"/>
    <xf borderId="0" fillId="0" fontId="15" numFmtId="0" xfId="0" applyAlignment="1" applyFont="1">
      <alignment readingOrder="0"/>
    </xf>
    <xf borderId="8" fillId="3" fontId="4" numFmtId="0" xfId="0" applyAlignment="1" applyBorder="1" applyFill="1" applyFont="1">
      <alignment horizontal="center" readingOrder="0" shrinkToFit="0" vertical="center" wrapText="1"/>
    </xf>
    <xf borderId="5" fillId="4" fontId="6" numFmtId="172" xfId="0" applyAlignment="1" applyBorder="1" applyFill="1" applyFont="1" applyNumberFormat="1">
      <alignment horizontal="center" readingOrder="0" vertical="center"/>
    </xf>
    <xf borderId="5" fillId="4" fontId="6" numFmtId="171" xfId="0" applyAlignment="1" applyBorder="1" applyFill="1" applyFont="1" applyNumberFormat="1">
      <alignment horizontal="center" readingOrder="0" vertical="center"/>
    </xf>
    <xf borderId="3" fillId="2" fontId="3" numFmtId="0" xfId="0" applyBorder="1" applyFill="1" applyFont="1"/>
    <xf borderId="16" fillId="2" fontId="10" numFmtId="0" xfId="0" applyBorder="1" applyFill="1" applyFont="1"/>
    <xf borderId="28" fillId="2" fontId="10" numFmtId="0" xfId="0" applyBorder="1" applyFill="1" applyFont="1"/>
    <xf borderId="29" fillId="3" fontId="5" numFmtId="0" xfId="0" applyAlignment="1" applyBorder="1" applyFill="1" applyFont="1">
      <alignment horizontal="center" readingOrder="0" vertical="center"/>
    </xf>
    <xf quotePrefix="1" borderId="12" fillId="3" fontId="5" numFmtId="0" xfId="0" applyAlignment="1" applyBorder="1" applyFill="1" applyFont="1">
      <alignment horizontal="center" readingOrder="0" vertical="center"/>
    </xf>
    <xf borderId="5" fillId="5" fontId="29" numFmtId="165" xfId="0" applyAlignment="1" applyBorder="1" applyFill="1" applyFont="1" applyNumberFormat="1">
      <alignment horizontal="center" readingOrder="0"/>
    </xf>
    <xf borderId="18" fillId="15" fontId="30" numFmtId="49" xfId="0" applyAlignment="1" applyBorder="1" applyFill="1" applyFont="1" applyNumberFormat="1">
      <alignment horizontal="center" readingOrder="0" vertical="bottom"/>
    </xf>
    <xf borderId="18" fillId="15" fontId="30" numFmtId="49" xfId="0" applyAlignment="1" applyBorder="1" applyFill="1" applyFont="1" applyNumberFormat="1">
      <alignment horizontal="center" readingOrder="0"/>
    </xf>
    <xf borderId="1" fillId="2" fontId="1" numFmtId="0" xfId="0" applyAlignment="1" applyBorder="1" applyFill="1" applyFont="1">
      <alignment readingOrder="0" vertical="bottom"/>
    </xf>
    <xf borderId="0" fillId="0" fontId="31" numFmtId="0" xfId="0" applyAlignment="1" applyFont="1">
      <alignment vertical="bottom"/>
    </xf>
    <xf borderId="5" fillId="4" fontId="6" numFmtId="49" xfId="0" applyAlignment="1" applyBorder="1" applyFill="1" applyFont="1" applyNumberFormat="1">
      <alignment horizontal="center" vertical="center"/>
    </xf>
    <xf borderId="5" fillId="9" fontId="18" numFmtId="173" xfId="0" applyAlignment="1" applyBorder="1" applyFill="1" applyFont="1" applyNumberFormat="1">
      <alignment horizontal="center" readingOrder="0" vertical="center"/>
    </xf>
    <xf borderId="5" fillId="9" fontId="14" numFmtId="173" xfId="0" applyAlignment="1" applyBorder="1" applyFill="1" applyFont="1" applyNumberFormat="1">
      <alignment horizontal="center" vertical="center"/>
    </xf>
    <xf borderId="5" fillId="4" fontId="6" numFmtId="49" xfId="0" applyAlignment="1" applyBorder="1" applyFill="1" applyFont="1" applyNumberFormat="1">
      <alignment horizontal="center" readingOrder="0" vertical="center"/>
    </xf>
    <xf borderId="5" fillId="9" fontId="18" numFmtId="170" xfId="0" applyAlignment="1" applyBorder="1" applyFill="1" applyFont="1" applyNumberFormat="1">
      <alignment horizontal="center" readingOrder="0" vertical="center"/>
    </xf>
    <xf borderId="0" fillId="0" fontId="15" numFmtId="170" xfId="0" applyAlignment="1" applyFont="1" applyNumberFormat="1">
      <alignment readingOrder="0"/>
    </xf>
    <xf borderId="0" fillId="0" fontId="15" numFmtId="174" xfId="0" applyFont="1" applyNumberFormat="1"/>
    <xf borderId="0" fillId="0" fontId="15" numFmtId="170" xfId="0" applyFont="1" applyNumberFormat="1"/>
    <xf borderId="0" fillId="0" fontId="32" numFmtId="174" xfId="0" applyFont="1" applyNumberFormat="1"/>
    <xf borderId="0" fillId="0" fontId="15" numFmtId="171" xfId="0" applyAlignment="1" applyFont="1" applyNumberFormat="1">
      <alignment readingOrder="0"/>
    </xf>
  </cellXfs>
  <cellStyles count="1">
    <cellStyle xfId="0" name="Normal" builtinId="0"/>
  </cellStyles>
  <dxfs count="2"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2" max="2" width="14.71"/>
    <col customWidth="1" min="3" max="3" width="26.0"/>
    <col customWidth="1" min="4" max="4" width="25.14"/>
    <col customWidth="1" min="5" max="5" width="24.86"/>
  </cols>
  <sheetData>
    <row r="1">
      <c r="A1" s="1" t="s">
        <v>0</v>
      </c>
      <c r="B1" s="2"/>
      <c r="C1" s="3"/>
    </row>
    <row r="3">
      <c r="B3" s="4" t="s">
        <v>1</v>
      </c>
      <c r="C3" s="4"/>
      <c r="D3" s="4" t="s">
        <v>2</v>
      </c>
    </row>
    <row r="4">
      <c r="B4" s="4" t="s">
        <v>3</v>
      </c>
      <c r="C4" s="4"/>
      <c r="D4" s="4" t="s">
        <v>4</v>
      </c>
    </row>
    <row r="7">
      <c r="B7" s="5" t="s">
        <v>5</v>
      </c>
      <c r="C7" s="6" t="s">
        <v>6</v>
      </c>
      <c r="D7" s="6" t="s">
        <v>7</v>
      </c>
      <c r="E7" s="6" t="s">
        <v>8</v>
      </c>
      <c r="F7" s="6" t="s">
        <v>9</v>
      </c>
    </row>
    <row r="8" ht="36.75" customHeight="1">
      <c r="B8" s="7">
        <v>101.0</v>
      </c>
      <c r="C8" s="8" t="s">
        <v>10</v>
      </c>
      <c r="D8" s="9">
        <v>44713.0</v>
      </c>
      <c r="E8" s="10" t="s">
        <v>11</v>
      </c>
      <c r="F8" s="11">
        <v>2300.0</v>
      </c>
    </row>
    <row r="9" ht="36.75" customHeight="1">
      <c r="B9" s="7">
        <v>103.0</v>
      </c>
      <c r="C9" s="8" t="s">
        <v>12</v>
      </c>
      <c r="D9" s="9">
        <v>44713.0</v>
      </c>
      <c r="E9" s="10" t="s">
        <v>13</v>
      </c>
      <c r="F9" s="11">
        <v>3100.0</v>
      </c>
    </row>
    <row r="10" ht="36.75" customHeight="1">
      <c r="B10" s="7">
        <v>104.0</v>
      </c>
      <c r="C10" s="8" t="s">
        <v>14</v>
      </c>
      <c r="D10" s="9">
        <v>44682.0</v>
      </c>
      <c r="E10" s="10" t="s">
        <v>15</v>
      </c>
      <c r="F10" s="11">
        <v>3680.0</v>
      </c>
    </row>
    <row r="11" ht="36.75" customHeight="1">
      <c r="B11" s="7">
        <v>105.0</v>
      </c>
      <c r="C11" s="8" t="s">
        <v>16</v>
      </c>
      <c r="D11" s="9">
        <v>44713.0</v>
      </c>
      <c r="E11" s="10" t="s">
        <v>17</v>
      </c>
      <c r="F11" s="11">
        <v>2400.0</v>
      </c>
    </row>
    <row r="12" ht="36.75" customHeight="1">
      <c r="B12" s="7">
        <v>202.0</v>
      </c>
      <c r="C12" s="8" t="s">
        <v>18</v>
      </c>
      <c r="D12" s="9">
        <v>44774.0</v>
      </c>
      <c r="E12" s="10" t="s">
        <v>19</v>
      </c>
      <c r="F12" s="11">
        <v>2200.0</v>
      </c>
    </row>
    <row r="13" ht="36.75" customHeight="1">
      <c r="B13" s="7">
        <v>206.0</v>
      </c>
      <c r="C13" s="8" t="s">
        <v>20</v>
      </c>
      <c r="D13" s="9">
        <v>44743.0</v>
      </c>
      <c r="E13" s="10" t="s">
        <v>21</v>
      </c>
      <c r="F13" s="11">
        <v>2570.0</v>
      </c>
    </row>
    <row r="14" ht="36.75" customHeight="1">
      <c r="B14" s="7">
        <v>304.0</v>
      </c>
      <c r="C14" s="8" t="s">
        <v>14</v>
      </c>
      <c r="D14" s="9">
        <v>44713.0</v>
      </c>
      <c r="E14" s="10" t="s">
        <v>22</v>
      </c>
      <c r="F14" s="11">
        <v>3200.0</v>
      </c>
    </row>
    <row r="15" ht="36.75" customHeight="1">
      <c r="B15" s="7">
        <v>305.0</v>
      </c>
      <c r="C15" s="8" t="s">
        <v>16</v>
      </c>
      <c r="D15" s="9">
        <v>44713.0</v>
      </c>
      <c r="E15" s="10" t="s">
        <v>17</v>
      </c>
      <c r="F15" s="11">
        <v>2400.0</v>
      </c>
    </row>
    <row r="16" ht="36.75" customHeight="1">
      <c r="B16" s="7">
        <v>406.0</v>
      </c>
      <c r="C16" s="8" t="s">
        <v>20</v>
      </c>
      <c r="D16" s="9">
        <v>44743.0</v>
      </c>
      <c r="E16" s="10" t="s">
        <v>21</v>
      </c>
      <c r="F16" s="11">
        <v>2570.0</v>
      </c>
    </row>
    <row r="17" ht="36.75" customHeight="1">
      <c r="B17" s="7">
        <v>407.0</v>
      </c>
      <c r="C17" s="8" t="s">
        <v>12</v>
      </c>
      <c r="D17" s="9">
        <v>44713.0</v>
      </c>
      <c r="E17" s="10" t="s">
        <v>13</v>
      </c>
      <c r="F17" s="11">
        <v>3100.0</v>
      </c>
    </row>
    <row r="18" ht="36.75" customHeight="1">
      <c r="B18" s="7">
        <v>501.0</v>
      </c>
      <c r="C18" s="8" t="s">
        <v>10</v>
      </c>
      <c r="D18" s="9">
        <v>44774.0</v>
      </c>
      <c r="E18" s="10" t="s">
        <v>23</v>
      </c>
      <c r="F18" s="11">
        <v>1600.0</v>
      </c>
    </row>
    <row r="19" ht="36.75" customHeight="1">
      <c r="B19" s="7">
        <v>503.0</v>
      </c>
      <c r="C19" s="8" t="s">
        <v>12</v>
      </c>
      <c r="D19" s="9">
        <v>44774.0</v>
      </c>
      <c r="E19" s="10" t="s">
        <v>24</v>
      </c>
      <c r="F19" s="11">
        <v>2000.0</v>
      </c>
    </row>
    <row r="20" ht="36.75" customHeight="1">
      <c r="B20" s="7">
        <v>505.0</v>
      </c>
      <c r="C20" s="8" t="s">
        <v>16</v>
      </c>
      <c r="D20" s="9">
        <v>44713.0</v>
      </c>
      <c r="E20" s="10" t="s">
        <v>17</v>
      </c>
      <c r="F20" s="11">
        <v>2400.0</v>
      </c>
    </row>
    <row r="21" ht="36.75" customHeight="1">
      <c r="B21" s="7">
        <v>506.0</v>
      </c>
      <c r="C21" s="8" t="s">
        <v>20</v>
      </c>
      <c r="D21" s="9">
        <v>44774.0</v>
      </c>
      <c r="E21" s="10" t="s">
        <v>24</v>
      </c>
      <c r="F21" s="11">
        <v>2000.0</v>
      </c>
    </row>
    <row r="22">
      <c r="E22" s="12" t="s">
        <v>9</v>
      </c>
      <c r="F22" s="13">
        <f>SUM(F8:F21)</f>
        <v>35520</v>
      </c>
    </row>
  </sheetData>
  <mergeCells count="1">
    <mergeCell ref="A1:C1"/>
  </mergeCells>
  <printOptions gridLines="1" horizontalCentered="1"/>
  <pageMargins bottom="0.75" footer="0.0" header="0.0" left="0.25" right="0.25" top="0.75"/>
  <pageSetup fitToWidth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22.0"/>
    <col customWidth="1" min="2" max="15" width="17.71"/>
    <col customWidth="1" min="16" max="26" width="8.71"/>
  </cols>
  <sheetData>
    <row r="1">
      <c r="A1" s="4" t="s">
        <v>25</v>
      </c>
      <c r="B1" s="14"/>
      <c r="C1" s="14"/>
      <c r="D1" s="14"/>
      <c r="E1" s="14"/>
      <c r="F1" s="14"/>
      <c r="G1" s="14"/>
      <c r="H1" s="15"/>
    </row>
    <row r="2">
      <c r="A2" s="16" t="s">
        <v>26</v>
      </c>
      <c r="B2" s="17"/>
      <c r="C2" s="17"/>
      <c r="D2" s="17"/>
      <c r="E2" s="17"/>
      <c r="F2" s="17"/>
      <c r="G2" s="17"/>
      <c r="H2" s="18"/>
    </row>
    <row r="3">
      <c r="A3" s="19" t="s">
        <v>27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</row>
    <row r="4">
      <c r="A4" s="21" t="s">
        <v>28</v>
      </c>
      <c r="B4" s="22">
        <v>102.0</v>
      </c>
      <c r="C4" s="22">
        <v>201.0</v>
      </c>
      <c r="D4" s="22">
        <v>203.0</v>
      </c>
      <c r="E4" s="22">
        <v>204.0</v>
      </c>
      <c r="F4" s="22">
        <v>205.0</v>
      </c>
      <c r="G4" s="22">
        <v>207.0</v>
      </c>
      <c r="H4" s="22">
        <v>301.0</v>
      </c>
      <c r="I4" s="22">
        <v>302.0</v>
      </c>
      <c r="J4" s="22">
        <v>303.0</v>
      </c>
      <c r="K4" s="22">
        <v>306.0</v>
      </c>
      <c r="L4" s="22">
        <v>307.0</v>
      </c>
      <c r="M4" s="22">
        <v>401.0</v>
      </c>
      <c r="N4" s="22">
        <v>405.0</v>
      </c>
      <c r="O4" s="22" t="s">
        <v>9</v>
      </c>
    </row>
    <row r="5" ht="30.0" customHeight="1">
      <c r="A5" s="23">
        <v>44337.0</v>
      </c>
      <c r="B5" s="24">
        <v>275.0</v>
      </c>
      <c r="C5" s="24">
        <v>-150.0</v>
      </c>
      <c r="D5" s="24">
        <v>550.0</v>
      </c>
      <c r="E5" s="24">
        <v>560.0</v>
      </c>
      <c r="F5" s="24">
        <v>-100.0</v>
      </c>
      <c r="G5" s="24"/>
      <c r="H5" s="24">
        <v>-150.0</v>
      </c>
      <c r="I5" s="24">
        <v>225.0</v>
      </c>
      <c r="J5" s="24">
        <v>50.0</v>
      </c>
      <c r="K5" s="24">
        <v>70.0</v>
      </c>
      <c r="L5" s="24">
        <v>550.0</v>
      </c>
      <c r="M5" s="24">
        <v>-150.0</v>
      </c>
      <c r="N5" s="24">
        <v>-100.0</v>
      </c>
      <c r="O5" s="24">
        <f t="shared" ref="O5:O23" si="1">SUM(B5:N5)</f>
        <v>1630</v>
      </c>
    </row>
    <row r="6" ht="30.0" customHeight="1">
      <c r="A6" s="23">
        <v>44368.0</v>
      </c>
      <c r="B6" s="24">
        <v>275.0</v>
      </c>
      <c r="C6" s="24">
        <v>-150.0</v>
      </c>
      <c r="D6" s="24">
        <v>550.0</v>
      </c>
      <c r="E6" s="24">
        <v>560.0</v>
      </c>
      <c r="F6" s="24">
        <v>-100.0</v>
      </c>
      <c r="G6" s="24"/>
      <c r="H6" s="24">
        <v>-150.0</v>
      </c>
      <c r="I6" s="24">
        <v>225.0</v>
      </c>
      <c r="J6" s="24">
        <v>50.0</v>
      </c>
      <c r="K6" s="24">
        <v>70.0</v>
      </c>
      <c r="L6" s="24">
        <v>550.0</v>
      </c>
      <c r="M6" s="24">
        <v>-150.0</v>
      </c>
      <c r="N6" s="24">
        <v>-100.0</v>
      </c>
      <c r="O6" s="24">
        <f t="shared" si="1"/>
        <v>1630</v>
      </c>
    </row>
    <row r="7" ht="30.0" customHeight="1">
      <c r="A7" s="23">
        <v>44398.0</v>
      </c>
      <c r="B7" s="24">
        <v>275.0</v>
      </c>
      <c r="C7" s="24">
        <v>-150.0</v>
      </c>
      <c r="D7" s="24">
        <v>550.0</v>
      </c>
      <c r="E7" s="24">
        <v>560.0</v>
      </c>
      <c r="F7" s="24">
        <v>-100.0</v>
      </c>
      <c r="G7" s="24"/>
      <c r="H7" s="24">
        <v>-350.0</v>
      </c>
      <c r="I7" s="24">
        <v>-225.0</v>
      </c>
      <c r="J7" s="24">
        <v>50.0</v>
      </c>
      <c r="K7" s="24">
        <v>70.0</v>
      </c>
      <c r="L7" s="24">
        <v>550.0</v>
      </c>
      <c r="M7" s="24">
        <v>-150.0</v>
      </c>
      <c r="N7" s="24">
        <v>-100.0</v>
      </c>
      <c r="O7" s="24">
        <f t="shared" si="1"/>
        <v>980</v>
      </c>
    </row>
    <row r="8" ht="30.0" customHeight="1">
      <c r="A8" s="23">
        <v>44429.0</v>
      </c>
      <c r="B8" s="24">
        <v>275.0</v>
      </c>
      <c r="C8" s="24">
        <v>-150.0</v>
      </c>
      <c r="D8" s="24">
        <v>550.0</v>
      </c>
      <c r="E8" s="24">
        <v>560.0</v>
      </c>
      <c r="F8" s="24">
        <v>-100.0</v>
      </c>
      <c r="G8" s="24"/>
      <c r="H8" s="24">
        <v>-350.0</v>
      </c>
      <c r="I8" s="24">
        <v>-225.0</v>
      </c>
      <c r="J8" s="24">
        <v>50.0</v>
      </c>
      <c r="K8" s="24">
        <v>70.0</v>
      </c>
      <c r="L8" s="24">
        <v>550.0</v>
      </c>
      <c r="M8" s="24">
        <v>-350.0</v>
      </c>
      <c r="N8" s="24">
        <v>-100.0</v>
      </c>
      <c r="O8" s="24">
        <f t="shared" si="1"/>
        <v>780</v>
      </c>
    </row>
    <row r="9" ht="30.0" customHeight="1">
      <c r="A9" s="23">
        <v>44460.0</v>
      </c>
      <c r="B9" s="24">
        <v>275.0</v>
      </c>
      <c r="C9" s="24">
        <v>-350.0</v>
      </c>
      <c r="D9" s="24">
        <v>550.0</v>
      </c>
      <c r="E9" s="24">
        <v>560.0</v>
      </c>
      <c r="F9" s="24">
        <v>-400.0</v>
      </c>
      <c r="G9" s="24"/>
      <c r="H9" s="24">
        <v>-350.0</v>
      </c>
      <c r="I9" s="24">
        <v>-225.0</v>
      </c>
      <c r="J9" s="24">
        <v>50.0</v>
      </c>
      <c r="K9" s="24">
        <v>70.0</v>
      </c>
      <c r="L9" s="24">
        <v>550.0</v>
      </c>
      <c r="M9" s="24">
        <v>-350.0</v>
      </c>
      <c r="N9" s="24">
        <v>-100.0</v>
      </c>
      <c r="O9" s="24">
        <f t="shared" si="1"/>
        <v>280</v>
      </c>
    </row>
    <row r="10" ht="30.0" customHeight="1">
      <c r="A10" s="23">
        <v>44490.0</v>
      </c>
      <c r="B10" s="24">
        <v>275.0</v>
      </c>
      <c r="C10" s="24">
        <v>-350.0</v>
      </c>
      <c r="D10" s="24">
        <v>550.0</v>
      </c>
      <c r="E10" s="24">
        <v>560.0</v>
      </c>
      <c r="F10" s="24">
        <v>-400.0</v>
      </c>
      <c r="G10" s="24"/>
      <c r="H10" s="24">
        <v>-350.0</v>
      </c>
      <c r="I10" s="24">
        <v>-225.0</v>
      </c>
      <c r="J10" s="24">
        <v>50.0</v>
      </c>
      <c r="K10" s="24">
        <v>70.0</v>
      </c>
      <c r="L10" s="24">
        <v>550.0</v>
      </c>
      <c r="M10" s="24">
        <v>-350.0</v>
      </c>
      <c r="N10" s="24">
        <v>-100.0</v>
      </c>
      <c r="O10" s="24">
        <f t="shared" si="1"/>
        <v>280</v>
      </c>
    </row>
    <row r="11" ht="30.0" customHeight="1">
      <c r="A11" s="23">
        <v>44521.0</v>
      </c>
      <c r="B11" s="24">
        <v>275.0</v>
      </c>
      <c r="C11" s="24">
        <v>-350.0</v>
      </c>
      <c r="D11" s="24">
        <v>550.0</v>
      </c>
      <c r="E11" s="24">
        <v>560.0</v>
      </c>
      <c r="F11" s="24">
        <v>-400.0</v>
      </c>
      <c r="G11" s="24"/>
      <c r="H11" s="24">
        <v>-350.0</v>
      </c>
      <c r="I11" s="24">
        <v>-225.0</v>
      </c>
      <c r="J11" s="24">
        <v>50.0</v>
      </c>
      <c r="K11" s="24">
        <v>70.0</v>
      </c>
      <c r="L11" s="24">
        <v>550.0</v>
      </c>
      <c r="M11" s="24">
        <v>-350.0</v>
      </c>
      <c r="N11" s="24">
        <v>-100.0</v>
      </c>
      <c r="O11" s="24">
        <f t="shared" si="1"/>
        <v>280</v>
      </c>
    </row>
    <row r="12" ht="30.0" customHeight="1">
      <c r="A12" s="23">
        <v>44551.0</v>
      </c>
      <c r="B12" s="24">
        <v>275.0</v>
      </c>
      <c r="C12" s="24">
        <v>-350.0</v>
      </c>
      <c r="D12" s="24">
        <v>550.0</v>
      </c>
      <c r="E12" s="24">
        <v>560.0</v>
      </c>
      <c r="F12" s="24">
        <v>-400.0</v>
      </c>
      <c r="G12" s="24">
        <v>-150.0</v>
      </c>
      <c r="H12" s="24">
        <v>-350.0</v>
      </c>
      <c r="I12" s="24">
        <v>-225.0</v>
      </c>
      <c r="J12" s="24">
        <v>50.0</v>
      </c>
      <c r="K12" s="24">
        <v>70.0</v>
      </c>
      <c r="L12" s="24">
        <v>550.0</v>
      </c>
      <c r="M12" s="24">
        <v>-350.0</v>
      </c>
      <c r="N12" s="24">
        <v>-100.0</v>
      </c>
      <c r="O12" s="24">
        <f t="shared" si="1"/>
        <v>130</v>
      </c>
    </row>
    <row r="13" ht="30.0" customHeight="1">
      <c r="A13" s="23">
        <v>44582.0</v>
      </c>
      <c r="B13" s="24">
        <v>275.0</v>
      </c>
      <c r="C13" s="24">
        <v>-350.0</v>
      </c>
      <c r="D13" s="24">
        <v>550.0</v>
      </c>
      <c r="E13" s="24">
        <v>560.0</v>
      </c>
      <c r="F13" s="24">
        <v>-400.0</v>
      </c>
      <c r="G13" s="24">
        <v>-150.0</v>
      </c>
      <c r="H13" s="24">
        <v>-350.0</v>
      </c>
      <c r="I13" s="24">
        <v>-225.0</v>
      </c>
      <c r="J13" s="24">
        <v>50.0</v>
      </c>
      <c r="K13" s="24">
        <v>70.0</v>
      </c>
      <c r="L13" s="24">
        <v>550.0</v>
      </c>
      <c r="M13" s="24">
        <v>-350.0</v>
      </c>
      <c r="N13" s="24">
        <v>-100.0</v>
      </c>
      <c r="O13" s="24">
        <f t="shared" si="1"/>
        <v>130</v>
      </c>
    </row>
    <row r="14" ht="30.0" customHeight="1">
      <c r="A14" s="23">
        <v>44613.0</v>
      </c>
      <c r="B14" s="24">
        <v>275.0</v>
      </c>
      <c r="C14" s="24">
        <v>-350.0</v>
      </c>
      <c r="D14" s="24">
        <v>550.0</v>
      </c>
      <c r="E14" s="24">
        <v>560.0</v>
      </c>
      <c r="F14" s="24">
        <v>-400.0</v>
      </c>
      <c r="G14" s="24">
        <v>-150.0</v>
      </c>
      <c r="H14" s="24">
        <v>-350.0</v>
      </c>
      <c r="I14" s="24">
        <v>-225.0</v>
      </c>
      <c r="J14" s="24">
        <v>50.0</v>
      </c>
      <c r="K14" s="24">
        <v>70.0</v>
      </c>
      <c r="L14" s="24">
        <v>550.0</v>
      </c>
      <c r="M14" s="24">
        <v>-350.0</v>
      </c>
      <c r="N14" s="24">
        <v>-100.0</v>
      </c>
      <c r="O14" s="24">
        <f t="shared" si="1"/>
        <v>130</v>
      </c>
    </row>
    <row r="15" ht="30.0" customHeight="1">
      <c r="A15" s="23">
        <v>44641.0</v>
      </c>
      <c r="B15" s="24">
        <v>275.0</v>
      </c>
      <c r="C15" s="24">
        <v>-350.0</v>
      </c>
      <c r="D15" s="24">
        <v>550.0</v>
      </c>
      <c r="E15" s="24">
        <v>560.0</v>
      </c>
      <c r="F15" s="24">
        <v>-400.0</v>
      </c>
      <c r="G15" s="24">
        <v>-150.0</v>
      </c>
      <c r="H15" s="24">
        <v>-350.0</v>
      </c>
      <c r="I15" s="24">
        <v>-225.0</v>
      </c>
      <c r="J15" s="24">
        <v>50.0</v>
      </c>
      <c r="K15" s="24">
        <v>70.0</v>
      </c>
      <c r="L15" s="24">
        <v>550.0</v>
      </c>
      <c r="M15" s="24">
        <v>-350.0</v>
      </c>
      <c r="N15" s="24">
        <v>-100.0</v>
      </c>
      <c r="O15" s="24">
        <f t="shared" si="1"/>
        <v>130</v>
      </c>
    </row>
    <row r="16" ht="30.0" hidden="1" customHeight="1">
      <c r="A16" s="23"/>
      <c r="B16" s="24"/>
      <c r="C16" s="24"/>
      <c r="D16" s="24"/>
      <c r="E16" s="24"/>
      <c r="F16" s="25"/>
      <c r="G16" s="24"/>
      <c r="H16" s="24"/>
      <c r="I16" s="24"/>
      <c r="J16" s="24"/>
      <c r="K16" s="24"/>
      <c r="L16" s="24"/>
      <c r="M16" s="24"/>
      <c r="N16" s="24"/>
      <c r="O16" s="24">
        <f t="shared" si="1"/>
        <v>0</v>
      </c>
    </row>
    <row r="17" ht="30.0" hidden="1" customHeight="1">
      <c r="A17" s="23"/>
      <c r="B17" s="24"/>
      <c r="C17" s="24"/>
      <c r="D17" s="24"/>
      <c r="E17" s="24"/>
      <c r="F17" s="25"/>
      <c r="G17" s="24"/>
      <c r="H17" s="24"/>
      <c r="I17" s="24"/>
      <c r="J17" s="24"/>
      <c r="K17" s="24"/>
      <c r="L17" s="24"/>
      <c r="M17" s="24"/>
      <c r="N17" s="24"/>
      <c r="O17" s="24">
        <f t="shared" si="1"/>
        <v>0</v>
      </c>
    </row>
    <row r="18" ht="30.0" hidden="1" customHeight="1">
      <c r="A18" s="23"/>
      <c r="B18" s="24"/>
      <c r="C18" s="24"/>
      <c r="D18" s="24"/>
      <c r="E18" s="24"/>
      <c r="F18" s="25"/>
      <c r="G18" s="24"/>
      <c r="H18" s="24"/>
      <c r="I18" s="24"/>
      <c r="J18" s="24"/>
      <c r="K18" s="24"/>
      <c r="L18" s="24"/>
      <c r="M18" s="24"/>
      <c r="N18" s="24"/>
      <c r="O18" s="24">
        <f t="shared" si="1"/>
        <v>0</v>
      </c>
    </row>
    <row r="19" ht="30.0" hidden="1" customHeight="1">
      <c r="A19" s="23"/>
      <c r="B19" s="24"/>
      <c r="C19" s="24"/>
      <c r="D19" s="24"/>
      <c r="E19" s="24"/>
      <c r="F19" s="25"/>
      <c r="G19" s="24"/>
      <c r="H19" s="24"/>
      <c r="I19" s="24"/>
      <c r="J19" s="24"/>
      <c r="K19" s="24"/>
      <c r="L19" s="24"/>
      <c r="M19" s="24"/>
      <c r="N19" s="24"/>
      <c r="O19" s="24">
        <f t="shared" si="1"/>
        <v>0</v>
      </c>
    </row>
    <row r="20" ht="30.0" hidden="1" customHeight="1">
      <c r="A20" s="23"/>
      <c r="B20" s="24"/>
      <c r="C20" s="24"/>
      <c r="D20" s="24"/>
      <c r="E20" s="24"/>
      <c r="F20" s="25"/>
      <c r="G20" s="24"/>
      <c r="H20" s="24"/>
      <c r="I20" s="24"/>
      <c r="J20" s="24"/>
      <c r="K20" s="24"/>
      <c r="L20" s="24"/>
      <c r="M20" s="24"/>
      <c r="N20" s="24"/>
      <c r="O20" s="24">
        <f t="shared" si="1"/>
        <v>0</v>
      </c>
    </row>
    <row r="21" ht="30.0" hidden="1" customHeight="1">
      <c r="A21" s="23"/>
      <c r="B21" s="24"/>
      <c r="C21" s="24"/>
      <c r="D21" s="24"/>
      <c r="E21" s="24"/>
      <c r="F21" s="25"/>
      <c r="G21" s="24"/>
      <c r="H21" s="24"/>
      <c r="I21" s="24"/>
      <c r="J21" s="24"/>
      <c r="K21" s="24"/>
      <c r="L21" s="24"/>
      <c r="M21" s="24"/>
      <c r="N21" s="24"/>
      <c r="O21" s="24">
        <f t="shared" si="1"/>
        <v>0</v>
      </c>
    </row>
    <row r="22" ht="30.0" customHeight="1">
      <c r="A22" s="26"/>
      <c r="B22" s="24"/>
      <c r="C22" s="24"/>
      <c r="D22" s="24"/>
      <c r="E22" s="24"/>
      <c r="F22" s="25"/>
      <c r="G22" s="24"/>
      <c r="H22" s="24"/>
      <c r="I22" s="24"/>
      <c r="J22" s="24"/>
      <c r="K22" s="24"/>
      <c r="L22" s="24"/>
      <c r="M22" s="24"/>
      <c r="N22" s="24"/>
      <c r="O22" s="24">
        <f t="shared" si="1"/>
        <v>0</v>
      </c>
    </row>
    <row r="23" ht="30.0" customHeight="1">
      <c r="A23" s="23"/>
      <c r="B23" s="24"/>
      <c r="C23" s="24"/>
      <c r="D23" s="24"/>
      <c r="E23" s="24"/>
      <c r="F23" s="25"/>
      <c r="G23" s="24"/>
      <c r="H23" s="24"/>
      <c r="I23" s="24"/>
      <c r="J23" s="24"/>
      <c r="K23" s="24"/>
      <c r="L23" s="24"/>
      <c r="M23" s="24"/>
      <c r="N23" s="24"/>
      <c r="O23" s="24">
        <f t="shared" si="1"/>
        <v>0</v>
      </c>
    </row>
    <row r="24" ht="30.0" customHeight="1">
      <c r="A24" s="27" t="s">
        <v>9</v>
      </c>
      <c r="B24" s="24">
        <f t="shared" ref="B24:O24" si="2">SUM(B5:B23)</f>
        <v>3025</v>
      </c>
      <c r="C24" s="24">
        <f t="shared" si="2"/>
        <v>-3050</v>
      </c>
      <c r="D24" s="24">
        <f t="shared" si="2"/>
        <v>6050</v>
      </c>
      <c r="E24" s="24">
        <f t="shared" si="2"/>
        <v>6160</v>
      </c>
      <c r="F24" s="24">
        <f t="shared" si="2"/>
        <v>-3200</v>
      </c>
      <c r="G24" s="24">
        <f t="shared" si="2"/>
        <v>-600</v>
      </c>
      <c r="H24" s="24">
        <f t="shared" si="2"/>
        <v>-3450</v>
      </c>
      <c r="I24" s="24">
        <f t="shared" si="2"/>
        <v>-1575</v>
      </c>
      <c r="J24" s="24">
        <f t="shared" si="2"/>
        <v>550</v>
      </c>
      <c r="K24" s="24">
        <f t="shared" si="2"/>
        <v>770</v>
      </c>
      <c r="L24" s="28">
        <f t="shared" si="2"/>
        <v>6050</v>
      </c>
      <c r="M24" s="24">
        <f t="shared" si="2"/>
        <v>-3250</v>
      </c>
      <c r="N24" s="24">
        <f t="shared" si="2"/>
        <v>-1100</v>
      </c>
      <c r="O24" s="24">
        <f t="shared" si="2"/>
        <v>6380</v>
      </c>
    </row>
    <row r="25" ht="30.0" customHeight="1">
      <c r="A25" s="27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</row>
    <row r="26" ht="30.0" customHeight="1">
      <c r="A26" s="27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</row>
    <row r="27" ht="30.0" customHeight="1">
      <c r="A27" s="27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</row>
    <row r="28" ht="30.0" customHeight="1">
      <c r="A28" s="27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</row>
    <row r="29" ht="30.0" customHeight="1">
      <c r="A29" s="27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</row>
    <row r="30" ht="30.0" customHeight="1">
      <c r="A30" s="27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ht="30.0" customHeight="1">
      <c r="A31" s="27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</row>
    <row r="32" ht="30.0" customHeight="1">
      <c r="A32" s="27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</row>
    <row r="33" ht="30.0" customHeight="1">
      <c r="A33" s="27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</row>
    <row r="34" ht="30.0" customHeight="1">
      <c r="A34" s="27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ht="15.75" customHeight="1">
      <c r="A35" s="27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</row>
    <row r="36" ht="15.75" customHeight="1">
      <c r="A36" s="29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25" right="0.25" top="0.75"/>
  <pageSetup fitToHeight="0" paperSize="8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7.57"/>
    <col customWidth="1" min="3" max="3" width="18.71"/>
    <col customWidth="1" min="4" max="4" width="23.29"/>
    <col customWidth="1" min="5" max="5" width="0.43"/>
    <col customWidth="1" min="6" max="6" width="8.71"/>
    <col customWidth="1" min="7" max="7" width="11.14"/>
    <col customWidth="1" min="8" max="11" width="8.71"/>
    <col customWidth="1" min="12" max="12" width="21.57"/>
    <col customWidth="1" min="13" max="13" width="29.57"/>
    <col customWidth="1" min="14" max="14" width="19.86"/>
    <col customWidth="1" min="15" max="15" width="18.29"/>
    <col customWidth="1" min="16" max="16" width="15.29"/>
    <col customWidth="1" min="17" max="26" width="8.71"/>
  </cols>
  <sheetData>
    <row r="1">
      <c r="A1" s="30" t="s">
        <v>29</v>
      </c>
      <c r="B1" s="2"/>
      <c r="C1" s="2"/>
      <c r="D1" s="2"/>
      <c r="E1" s="2"/>
      <c r="F1" s="2"/>
      <c r="G1" s="2"/>
      <c r="H1" s="31"/>
    </row>
    <row r="2">
      <c r="A2" s="32" t="s">
        <v>26</v>
      </c>
      <c r="B2" s="33"/>
      <c r="C2" s="33"/>
      <c r="D2" s="34"/>
      <c r="E2" s="35"/>
      <c r="F2" s="36" t="s">
        <v>30</v>
      </c>
      <c r="G2" s="33"/>
      <c r="H2" s="37"/>
    </row>
    <row r="3">
      <c r="A3" s="16"/>
      <c r="B3" s="17"/>
      <c r="C3" s="17" t="s">
        <v>31</v>
      </c>
      <c r="D3" s="17"/>
      <c r="E3" s="38"/>
      <c r="F3" s="17" t="s">
        <v>32</v>
      </c>
      <c r="G3" s="17" t="s">
        <v>33</v>
      </c>
      <c r="H3" s="39" t="s">
        <v>34</v>
      </c>
    </row>
    <row r="4">
      <c r="A4" s="40" t="s">
        <v>32</v>
      </c>
      <c r="B4" s="41" t="s">
        <v>35</v>
      </c>
      <c r="C4" s="41" t="s">
        <v>36</v>
      </c>
      <c r="D4" s="42" t="s">
        <v>37</v>
      </c>
      <c r="E4" s="38"/>
      <c r="F4" s="43"/>
      <c r="G4" s="43"/>
      <c r="H4" s="44"/>
      <c r="L4" s="45" t="s">
        <v>38</v>
      </c>
      <c r="M4" s="45" t="s">
        <v>39</v>
      </c>
      <c r="N4" s="45" t="s">
        <v>40</v>
      </c>
      <c r="O4" s="45" t="s">
        <v>41</v>
      </c>
      <c r="P4" s="45" t="s">
        <v>42</v>
      </c>
    </row>
    <row r="5">
      <c r="A5" s="46">
        <v>1.0</v>
      </c>
      <c r="B5" s="43">
        <v>101.0</v>
      </c>
      <c r="C5" s="43" t="s">
        <v>43</v>
      </c>
      <c r="D5" s="47" t="str">
        <f>Maintenance!G5+#REF!+#REF!+#REF!</f>
        <v>#REF!</v>
      </c>
      <c r="E5" s="38"/>
      <c r="F5" s="43"/>
      <c r="G5" s="43"/>
      <c r="H5" s="44"/>
      <c r="L5" s="48">
        <f>VLOOKUP(Expenses!C276,Expenses!C:D,2)</f>
        <v>1202585</v>
      </c>
      <c r="M5" s="48">
        <f t="array" ref="M5">INDEX(Maintenance!1:1056,MATCH(Maintenance!A84,Maintenance!A:A),MATCH(Maintenance!U4,Maintenance!4:4))</f>
        <v>605920</v>
      </c>
      <c r="N5" s="48">
        <f>VLOOKUP(Income!C36,Income!C:D,2)</f>
        <v>432868</v>
      </c>
      <c r="O5" s="48">
        <f>Income!J36</f>
        <v>0</v>
      </c>
      <c r="P5" s="48">
        <f>M5+N5+O5+-L5</f>
        <v>-163797</v>
      </c>
    </row>
    <row r="6">
      <c r="A6" s="46">
        <f t="shared" ref="A6:A13" si="1">A5+1</f>
        <v>2</v>
      </c>
      <c r="B6" s="43">
        <v>201.0</v>
      </c>
      <c r="C6" s="43" t="s">
        <v>44</v>
      </c>
      <c r="D6" s="47" t="str">
        <f>Maintenance!G6+#REF!+#REF!+#REF!</f>
        <v>#REF!</v>
      </c>
      <c r="E6" s="38"/>
      <c r="F6" s="43"/>
      <c r="G6" s="43"/>
      <c r="H6" s="44"/>
    </row>
    <row r="7">
      <c r="A7" s="46">
        <f t="shared" si="1"/>
        <v>3</v>
      </c>
      <c r="B7" s="43">
        <v>205.0</v>
      </c>
      <c r="C7" s="43" t="s">
        <v>45</v>
      </c>
      <c r="D7" s="47" t="str">
        <f>Maintenance!G7+#REF!+#REF!+#REF!</f>
        <v>#REF!</v>
      </c>
      <c r="E7" s="38"/>
      <c r="F7" s="43"/>
      <c r="G7" s="43"/>
      <c r="H7" s="44"/>
    </row>
    <row r="8">
      <c r="A8" s="46">
        <f t="shared" si="1"/>
        <v>4</v>
      </c>
      <c r="B8" s="43">
        <v>301.0</v>
      </c>
      <c r="C8" s="43" t="s">
        <v>46</v>
      </c>
      <c r="D8" s="47" t="str">
        <f>Maintenance!G8+#REF!+#REF!+#REF!</f>
        <v>#REF!</v>
      </c>
      <c r="E8" s="38"/>
      <c r="F8" s="43"/>
      <c r="G8" s="43"/>
      <c r="H8" s="44"/>
    </row>
    <row r="9">
      <c r="A9" s="46">
        <f t="shared" si="1"/>
        <v>5</v>
      </c>
      <c r="B9" s="43">
        <v>302.0</v>
      </c>
      <c r="C9" s="43" t="s">
        <v>47</v>
      </c>
      <c r="D9" s="47" t="str">
        <f>Maintenance!G9+#REF!+#REF!+#REF!</f>
        <v>#REF!</v>
      </c>
      <c r="E9" s="38"/>
      <c r="F9" s="43"/>
      <c r="G9" s="43"/>
      <c r="H9" s="44"/>
    </row>
    <row r="10">
      <c r="A10" s="46">
        <f t="shared" si="1"/>
        <v>6</v>
      </c>
      <c r="B10" s="43">
        <v>303.0</v>
      </c>
      <c r="C10" s="43" t="s">
        <v>47</v>
      </c>
      <c r="D10" s="47" t="str">
        <f>Maintenance!G10+#REF!+#REF!+#REF!</f>
        <v>#REF!</v>
      </c>
      <c r="E10" s="38"/>
      <c r="F10" s="43"/>
      <c r="G10" s="43"/>
      <c r="H10" s="44"/>
    </row>
    <row r="11">
      <c r="A11" s="46">
        <f t="shared" si="1"/>
        <v>7</v>
      </c>
      <c r="B11" s="43">
        <v>306.0</v>
      </c>
      <c r="C11" s="43" t="s">
        <v>48</v>
      </c>
      <c r="D11" s="47" t="str">
        <f>Maintenance!G11+#REF!+#REF!+#REF!</f>
        <v>#REF!</v>
      </c>
      <c r="E11" s="38"/>
      <c r="F11" s="43"/>
      <c r="G11" s="43"/>
      <c r="H11" s="44"/>
    </row>
    <row r="12">
      <c r="A12" s="46">
        <f t="shared" si="1"/>
        <v>8</v>
      </c>
      <c r="B12" s="43">
        <v>401.0</v>
      </c>
      <c r="C12" s="43" t="s">
        <v>49</v>
      </c>
      <c r="D12" s="47" t="str">
        <f>Maintenance!G12+#REF!+#REF!+#REF!</f>
        <v>#REF!</v>
      </c>
      <c r="E12" s="38"/>
      <c r="F12" s="43"/>
      <c r="G12" s="43"/>
      <c r="H12" s="44"/>
    </row>
    <row r="13">
      <c r="A13" s="46">
        <f t="shared" si="1"/>
        <v>9</v>
      </c>
      <c r="B13" s="43">
        <v>405.0</v>
      </c>
      <c r="C13" s="43" t="s">
        <v>50</v>
      </c>
      <c r="D13" s="47" t="str">
        <f>Maintenance!G13+#REF!+#REF!+#REF!</f>
        <v>#REF!</v>
      </c>
      <c r="E13" s="38"/>
      <c r="F13" s="43"/>
      <c r="G13" s="43"/>
      <c r="H13" s="44"/>
    </row>
    <row r="14">
      <c r="A14" s="46"/>
      <c r="B14" s="43"/>
      <c r="C14" s="43"/>
      <c r="D14" s="43"/>
      <c r="E14" s="38"/>
      <c r="F14" s="49"/>
      <c r="G14" s="49"/>
      <c r="H14" s="50"/>
    </row>
    <row r="15">
      <c r="A15" s="32" t="s">
        <v>51</v>
      </c>
      <c r="B15" s="33"/>
      <c r="C15" s="34"/>
      <c r="D15" s="51" t="str">
        <f>SUM(D5:D14)</f>
        <v>#REF!</v>
      </c>
      <c r="E15" s="38"/>
      <c r="F15" s="17" t="s">
        <v>52</v>
      </c>
      <c r="G15" s="17"/>
      <c r="H15" s="52" t="str">
        <f>Maintenance!L84+#REF!+#REF!+#REF!</f>
        <v>#REF!</v>
      </c>
    </row>
    <row r="16">
      <c r="A16" s="53" t="s">
        <v>53</v>
      </c>
      <c r="B16" s="54"/>
      <c r="C16" s="55"/>
      <c r="D16" s="56" t="str">
        <f>D15-H15</f>
        <v>#REF!</v>
      </c>
      <c r="E16" s="57"/>
      <c r="F16" s="58"/>
      <c r="G16" s="58"/>
      <c r="H16" s="5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H1"/>
    <mergeCell ref="A2:D2"/>
    <mergeCell ref="E2:E16"/>
    <mergeCell ref="F2:H2"/>
    <mergeCell ref="A15:C15"/>
    <mergeCell ref="A16:C16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4.14"/>
    <col customWidth="1" min="3" max="3" width="18.0"/>
    <col customWidth="1" min="4" max="4" width="27.71"/>
    <col customWidth="1" min="5" max="5" width="26.43"/>
    <col customWidth="1" min="6" max="6" width="16.71"/>
    <col customWidth="1" min="7" max="7" width="24.43"/>
    <col customWidth="1" min="8" max="8" width="13.71"/>
    <col customWidth="1" min="9" max="9" width="17.71"/>
    <col customWidth="1" min="10" max="26" width="8.71"/>
  </cols>
  <sheetData>
    <row r="2">
      <c r="B2" s="60" t="s">
        <v>54</v>
      </c>
      <c r="G2" s="60" t="s">
        <v>55</v>
      </c>
    </row>
    <row r="3">
      <c r="B3" s="45" t="s">
        <v>56</v>
      </c>
      <c r="C3" s="45" t="s">
        <v>57</v>
      </c>
      <c r="D3" s="45" t="s">
        <v>33</v>
      </c>
      <c r="E3" s="45" t="s">
        <v>34</v>
      </c>
      <c r="G3" s="45" t="s">
        <v>56</v>
      </c>
      <c r="H3" s="45" t="s">
        <v>57</v>
      </c>
      <c r="I3" s="45" t="s">
        <v>34</v>
      </c>
    </row>
    <row r="4">
      <c r="B4" s="61">
        <v>302.0</v>
      </c>
      <c r="C4" s="62">
        <v>44652.0</v>
      </c>
      <c r="D4" s="63" t="s">
        <v>58</v>
      </c>
      <c r="E4" s="48">
        <v>21555.0</v>
      </c>
      <c r="G4" s="61">
        <v>102.0</v>
      </c>
      <c r="H4" s="62"/>
      <c r="I4" s="48"/>
    </row>
    <row r="5">
      <c r="B5" s="61">
        <v>401.0</v>
      </c>
      <c r="C5" s="62">
        <v>44654.0</v>
      </c>
      <c r="D5" s="63" t="s">
        <v>59</v>
      </c>
      <c r="E5" s="48">
        <v>7350.0</v>
      </c>
      <c r="G5" s="61">
        <v>201.0</v>
      </c>
      <c r="H5" s="62">
        <v>44723.0</v>
      </c>
      <c r="I5" s="48">
        <v>3000.0</v>
      </c>
    </row>
    <row r="6">
      <c r="B6" s="61">
        <v>306.0</v>
      </c>
      <c r="C6" s="62">
        <v>44657.0</v>
      </c>
      <c r="D6" s="63" t="s">
        <v>58</v>
      </c>
      <c r="E6" s="48">
        <v>17250.0</v>
      </c>
      <c r="G6" s="61">
        <v>203.0</v>
      </c>
      <c r="H6" s="62"/>
      <c r="I6" s="48"/>
    </row>
    <row r="7">
      <c r="B7" s="61">
        <v>301.0</v>
      </c>
      <c r="C7" s="62">
        <v>44658.0</v>
      </c>
      <c r="D7" s="63" t="s">
        <v>58</v>
      </c>
      <c r="E7" s="48">
        <v>12630.0</v>
      </c>
      <c r="G7" s="61">
        <v>204.0</v>
      </c>
      <c r="H7" s="64">
        <v>44906.0</v>
      </c>
      <c r="I7" s="65">
        <v>3000.0</v>
      </c>
    </row>
    <row r="8">
      <c r="B8" s="61">
        <v>201.0</v>
      </c>
      <c r="C8" s="62">
        <v>44659.0</v>
      </c>
      <c r="D8" s="63" t="s">
        <v>60</v>
      </c>
      <c r="E8" s="48">
        <v>7540.0</v>
      </c>
      <c r="G8" s="61">
        <v>205.0</v>
      </c>
      <c r="H8" s="64">
        <v>46080.0</v>
      </c>
      <c r="I8" s="65">
        <v>3000.0</v>
      </c>
    </row>
    <row r="9">
      <c r="B9" s="61">
        <v>205.0</v>
      </c>
      <c r="C9" s="62">
        <v>44663.0</v>
      </c>
      <c r="D9" s="63" t="s">
        <v>58</v>
      </c>
      <c r="E9" s="48">
        <v>13680.0</v>
      </c>
      <c r="G9" s="61">
        <v>207.0</v>
      </c>
      <c r="H9" s="62"/>
      <c r="I9" s="48"/>
    </row>
    <row r="10">
      <c r="B10" s="61">
        <v>102.0</v>
      </c>
      <c r="C10" s="62">
        <v>44682.0</v>
      </c>
      <c r="D10" s="63" t="s">
        <v>59</v>
      </c>
      <c r="E10" s="48">
        <v>16275.0</v>
      </c>
      <c r="G10" s="61">
        <v>301.0</v>
      </c>
      <c r="H10" s="62"/>
      <c r="I10" s="48"/>
    </row>
    <row r="11" ht="44.25" customHeight="1">
      <c r="B11" s="61">
        <v>405.0</v>
      </c>
      <c r="C11" s="62">
        <v>44683.0</v>
      </c>
      <c r="D11" s="63" t="s">
        <v>61</v>
      </c>
      <c r="E11" s="48">
        <v>10960.0</v>
      </c>
      <c r="G11" s="61">
        <v>302.0</v>
      </c>
      <c r="H11" s="62">
        <v>44749.0</v>
      </c>
      <c r="I11" s="48">
        <v>3000.0</v>
      </c>
    </row>
    <row r="12" ht="44.25" customHeight="1">
      <c r="B12" s="61">
        <v>303.0</v>
      </c>
      <c r="C12" s="62">
        <v>44688.0</v>
      </c>
      <c r="D12" s="63" t="s">
        <v>61</v>
      </c>
      <c r="E12" s="48">
        <v>13585.0</v>
      </c>
      <c r="G12" s="61">
        <v>303.0</v>
      </c>
      <c r="H12" s="64">
        <v>44810.0</v>
      </c>
      <c r="I12" s="65">
        <v>3000.0</v>
      </c>
    </row>
    <row r="13">
      <c r="B13" s="61">
        <v>401.0</v>
      </c>
      <c r="C13" s="62" t="s">
        <v>62</v>
      </c>
      <c r="D13" s="63" t="s">
        <v>63</v>
      </c>
      <c r="E13" s="48">
        <v>5280.0</v>
      </c>
      <c r="G13" s="61">
        <v>306.0</v>
      </c>
      <c r="H13" s="62">
        <v>44745.0</v>
      </c>
      <c r="I13" s="48">
        <v>1500.0</v>
      </c>
    </row>
    <row r="14">
      <c r="B14" s="61">
        <v>102.0</v>
      </c>
      <c r="C14" s="62">
        <v>44714.0</v>
      </c>
      <c r="D14" s="63" t="s">
        <v>63</v>
      </c>
      <c r="E14" s="48">
        <v>5280.0</v>
      </c>
      <c r="G14" s="61">
        <v>401.0</v>
      </c>
      <c r="H14" s="62">
        <v>44723.0</v>
      </c>
      <c r="I14" s="48">
        <v>1500.0</v>
      </c>
    </row>
    <row r="15">
      <c r="D15" s="63" t="s">
        <v>9</v>
      </c>
      <c r="E15" s="66">
        <f>SUM(E4:E14)</f>
        <v>131385</v>
      </c>
      <c r="G15" s="61">
        <v>405.0</v>
      </c>
      <c r="H15" s="64">
        <v>44772.0</v>
      </c>
      <c r="I15" s="65">
        <v>3000.0</v>
      </c>
    </row>
    <row r="16">
      <c r="G16" s="61">
        <v>401.0</v>
      </c>
      <c r="H16" s="62">
        <v>44745.0</v>
      </c>
      <c r="I16" s="48">
        <v>1500.0</v>
      </c>
    </row>
    <row r="17">
      <c r="D17" s="67" t="s">
        <v>64</v>
      </c>
      <c r="G17" s="68">
        <v>306.0</v>
      </c>
      <c r="H17" s="64">
        <v>44766.0</v>
      </c>
      <c r="I17" s="65">
        <v>1500.0</v>
      </c>
    </row>
    <row r="18">
      <c r="G18" s="68">
        <v>307.0</v>
      </c>
      <c r="H18" s="64">
        <v>44817.0</v>
      </c>
      <c r="I18" s="65">
        <v>3000.0</v>
      </c>
    </row>
    <row r="19">
      <c r="G19" s="68" t="s">
        <v>65</v>
      </c>
      <c r="H19" s="64">
        <v>44903.0</v>
      </c>
      <c r="I19" s="65">
        <v>42000.0</v>
      </c>
    </row>
    <row r="20">
      <c r="G20" s="68">
        <v>402.0</v>
      </c>
      <c r="H20" s="64">
        <v>45375.0</v>
      </c>
      <c r="I20" s="65">
        <v>3000.0</v>
      </c>
    </row>
    <row r="21">
      <c r="G21" s="68"/>
      <c r="H21" s="64"/>
      <c r="I21" s="65"/>
    </row>
    <row r="22" ht="15.75" customHeight="1">
      <c r="H22" s="63" t="s">
        <v>9</v>
      </c>
      <c r="I22" s="69">
        <f>SUM(I4:I21)</f>
        <v>72000</v>
      </c>
    </row>
    <row r="23" ht="15.75" customHeight="1">
      <c r="B23" s="70" t="s">
        <v>66</v>
      </c>
      <c r="D23" s="71"/>
    </row>
    <row r="24" ht="15.75" customHeight="1">
      <c r="B24" s="45" t="s">
        <v>56</v>
      </c>
      <c r="C24" s="45" t="s">
        <v>57</v>
      </c>
      <c r="D24" s="72" t="s">
        <v>67</v>
      </c>
      <c r="E24" s="72" t="s">
        <v>68</v>
      </c>
      <c r="F24" s="72" t="s">
        <v>69</v>
      </c>
      <c r="G24" s="45" t="s">
        <v>70</v>
      </c>
    </row>
    <row r="25" ht="15.75" customHeight="1">
      <c r="B25" s="68">
        <v>205.0</v>
      </c>
      <c r="C25" s="64">
        <v>45375.0</v>
      </c>
      <c r="D25" s="65">
        <v>3000.0</v>
      </c>
      <c r="E25" s="65">
        <v>2640.0</v>
      </c>
      <c r="F25" s="65">
        <f t="shared" ref="F25:F40" si="1">SUM(D25,E25)</f>
        <v>5640</v>
      </c>
      <c r="G25" s="65">
        <v>0.0</v>
      </c>
    </row>
    <row r="26" ht="15.75" customHeight="1">
      <c r="B26" s="68">
        <v>204.0</v>
      </c>
      <c r="C26" s="64">
        <v>45375.0</v>
      </c>
      <c r="D26" s="65">
        <v>4200.0</v>
      </c>
      <c r="E26" s="65">
        <v>2400.0</v>
      </c>
      <c r="F26" s="65">
        <f t="shared" si="1"/>
        <v>6600</v>
      </c>
      <c r="G26" s="65">
        <v>0.0</v>
      </c>
    </row>
    <row r="27" ht="15.75" customHeight="1">
      <c r="B27" s="68">
        <v>301.0</v>
      </c>
      <c r="C27" s="64">
        <v>45375.0</v>
      </c>
      <c r="D27" s="65">
        <v>2625.0</v>
      </c>
      <c r="E27" s="65">
        <v>2640.0</v>
      </c>
      <c r="F27" s="65">
        <f t="shared" si="1"/>
        <v>5265</v>
      </c>
      <c r="G27" s="65">
        <v>0.0</v>
      </c>
    </row>
    <row r="28" ht="15.75" customHeight="1">
      <c r="B28" s="68">
        <v>201.0</v>
      </c>
      <c r="C28" s="64">
        <v>45375.0</v>
      </c>
      <c r="D28" s="65">
        <v>2625.0</v>
      </c>
      <c r="E28" s="65">
        <v>2640.0</v>
      </c>
      <c r="F28" s="65">
        <f t="shared" si="1"/>
        <v>5265</v>
      </c>
      <c r="G28" s="65">
        <v>0.0</v>
      </c>
    </row>
    <row r="29" ht="15.75" customHeight="1">
      <c r="B29" s="68">
        <v>402.0</v>
      </c>
      <c r="C29" s="64">
        <v>45375.0</v>
      </c>
      <c r="D29" s="65">
        <v>5812.0</v>
      </c>
      <c r="E29" s="65">
        <v>2640.0</v>
      </c>
      <c r="F29" s="65">
        <f t="shared" si="1"/>
        <v>8452</v>
      </c>
      <c r="G29" s="65">
        <v>0.0</v>
      </c>
    </row>
    <row r="30" ht="15.75" customHeight="1">
      <c r="B30" s="68">
        <v>302.0</v>
      </c>
      <c r="C30" s="64">
        <v>45375.0</v>
      </c>
      <c r="D30" s="65">
        <v>5812.0</v>
      </c>
      <c r="E30" s="65">
        <v>2640.0</v>
      </c>
      <c r="F30" s="65">
        <f t="shared" si="1"/>
        <v>8452</v>
      </c>
      <c r="G30" s="65">
        <v>0.0</v>
      </c>
    </row>
    <row r="31" ht="15.75" customHeight="1">
      <c r="B31" s="68">
        <v>303.0</v>
      </c>
      <c r="C31" s="64">
        <v>45375.0</v>
      </c>
      <c r="D31" s="65">
        <v>4125.0</v>
      </c>
      <c r="E31" s="65">
        <v>2640.0</v>
      </c>
      <c r="F31" s="65">
        <f t="shared" si="1"/>
        <v>6765</v>
      </c>
      <c r="G31" s="65">
        <v>0.0</v>
      </c>
    </row>
    <row r="32" ht="15.75" customHeight="1">
      <c r="B32" s="68">
        <v>405.0</v>
      </c>
      <c r="C32" s="64">
        <v>45375.0</v>
      </c>
      <c r="D32" s="65">
        <v>3000.0</v>
      </c>
      <c r="E32" s="65">
        <v>2640.0</v>
      </c>
      <c r="F32" s="65">
        <f t="shared" si="1"/>
        <v>5640</v>
      </c>
      <c r="G32" s="65">
        <v>0.0</v>
      </c>
    </row>
    <row r="33" ht="15.75" customHeight="1">
      <c r="B33" s="68">
        <v>106.0</v>
      </c>
      <c r="C33" s="64">
        <v>45375.0</v>
      </c>
      <c r="D33" s="65">
        <v>4275.0</v>
      </c>
      <c r="E33" s="65">
        <v>2640.0</v>
      </c>
      <c r="F33" s="65">
        <f t="shared" si="1"/>
        <v>6915</v>
      </c>
      <c r="G33" s="65">
        <v>0.0</v>
      </c>
    </row>
    <row r="34" ht="15.75" customHeight="1">
      <c r="B34" s="68">
        <v>107.0</v>
      </c>
      <c r="C34" s="64">
        <v>45375.0</v>
      </c>
      <c r="D34" s="65">
        <v>4125.0</v>
      </c>
      <c r="E34" s="65">
        <v>2640.0</v>
      </c>
      <c r="F34" s="65">
        <f t="shared" si="1"/>
        <v>6765</v>
      </c>
      <c r="G34" s="65">
        <v>0.0</v>
      </c>
    </row>
    <row r="35" ht="15.75" customHeight="1">
      <c r="B35" s="68">
        <v>403.0</v>
      </c>
      <c r="C35" s="64">
        <v>45375.0</v>
      </c>
      <c r="D35" s="65">
        <v>4125.0</v>
      </c>
      <c r="E35" s="65">
        <v>2640.0</v>
      </c>
      <c r="F35" s="65">
        <f t="shared" si="1"/>
        <v>6765</v>
      </c>
      <c r="G35" s="65">
        <v>0.0</v>
      </c>
    </row>
    <row r="36" ht="15.75" customHeight="1">
      <c r="B36" s="68">
        <v>404.0</v>
      </c>
      <c r="C36" s="64">
        <v>45375.0</v>
      </c>
      <c r="D36" s="65">
        <v>4200.0</v>
      </c>
      <c r="E36" s="65">
        <v>2640.0</v>
      </c>
      <c r="F36" s="65">
        <f t="shared" si="1"/>
        <v>6840</v>
      </c>
      <c r="G36" s="65">
        <v>0.0</v>
      </c>
    </row>
    <row r="37" ht="15.75" customHeight="1">
      <c r="B37" s="68">
        <v>504.0</v>
      </c>
      <c r="C37" s="64">
        <v>45375.0</v>
      </c>
      <c r="D37" s="65">
        <v>4200.0</v>
      </c>
      <c r="E37" s="65">
        <v>2640.0</v>
      </c>
      <c r="F37" s="65">
        <f t="shared" si="1"/>
        <v>6840</v>
      </c>
      <c r="G37" s="65">
        <v>0.0</v>
      </c>
    </row>
    <row r="38" ht="15.75" customHeight="1">
      <c r="B38" s="68">
        <v>507.0</v>
      </c>
      <c r="C38" s="64">
        <v>45375.0</v>
      </c>
      <c r="D38" s="65">
        <v>4125.0</v>
      </c>
      <c r="E38" s="65">
        <v>2640.0</v>
      </c>
      <c r="F38" s="65">
        <f t="shared" si="1"/>
        <v>6765</v>
      </c>
      <c r="G38" s="65">
        <v>0.0</v>
      </c>
    </row>
    <row r="39" ht="15.75" customHeight="1">
      <c r="B39" s="68">
        <v>1.0</v>
      </c>
      <c r="C39" s="64">
        <v>45375.0</v>
      </c>
      <c r="D39" s="65">
        <v>2625.0</v>
      </c>
      <c r="E39" s="65">
        <v>0.0</v>
      </c>
      <c r="F39" s="65">
        <f t="shared" si="1"/>
        <v>2625</v>
      </c>
      <c r="G39" s="65">
        <v>0.0</v>
      </c>
    </row>
    <row r="40" ht="15.75" customHeight="1">
      <c r="B40" s="68" t="s">
        <v>71</v>
      </c>
      <c r="C40" s="64">
        <v>45375.0</v>
      </c>
      <c r="D40" s="65">
        <v>10500.0</v>
      </c>
      <c r="E40" s="65">
        <v>0.0</v>
      </c>
      <c r="F40" s="65">
        <f t="shared" si="1"/>
        <v>10500</v>
      </c>
      <c r="G40" s="65">
        <v>0.0</v>
      </c>
    </row>
    <row r="41" ht="15.75" customHeight="1">
      <c r="B41" s="68">
        <v>101.0</v>
      </c>
      <c r="C41" s="64"/>
      <c r="D41" s="65">
        <v>2625.0</v>
      </c>
      <c r="E41" s="65">
        <v>2640.0</v>
      </c>
      <c r="F41" s="65"/>
      <c r="G41" s="73">
        <f t="shared" ref="G41:G49" si="2">SUM(D41:E41)</f>
        <v>5265</v>
      </c>
    </row>
    <row r="42" ht="15.75" customHeight="1">
      <c r="B42" s="68">
        <v>102.0</v>
      </c>
      <c r="C42" s="64"/>
      <c r="D42" s="65">
        <v>5812.0</v>
      </c>
      <c r="E42" s="65">
        <v>2640.0</v>
      </c>
      <c r="F42" s="65"/>
      <c r="G42" s="73">
        <f t="shared" si="2"/>
        <v>8452</v>
      </c>
    </row>
    <row r="43" ht="15.75" customHeight="1">
      <c r="B43" s="68">
        <v>203.0</v>
      </c>
      <c r="C43" s="64"/>
      <c r="D43" s="65">
        <v>4125.0</v>
      </c>
      <c r="E43" s="65">
        <v>2640.0</v>
      </c>
      <c r="F43" s="65"/>
      <c r="G43" s="73">
        <f t="shared" si="2"/>
        <v>6765</v>
      </c>
    </row>
    <row r="44" ht="15.75" customHeight="1">
      <c r="B44" s="68">
        <v>206.0</v>
      </c>
      <c r="C44" s="64"/>
      <c r="D44" s="65">
        <v>4275.0</v>
      </c>
      <c r="E44" s="65">
        <v>2640.0</v>
      </c>
      <c r="F44" s="65"/>
      <c r="G44" s="73">
        <f t="shared" si="2"/>
        <v>6915</v>
      </c>
    </row>
    <row r="45" ht="15.75" customHeight="1">
      <c r="B45" s="68">
        <v>207.0</v>
      </c>
      <c r="C45" s="64"/>
      <c r="D45" s="65">
        <v>4125.0</v>
      </c>
      <c r="E45" s="65">
        <v>2640.0</v>
      </c>
      <c r="F45" s="65"/>
      <c r="G45" s="73">
        <f t="shared" si="2"/>
        <v>6765</v>
      </c>
    </row>
    <row r="46" ht="15.75" customHeight="1">
      <c r="B46" s="68">
        <v>306.0</v>
      </c>
      <c r="C46" s="64"/>
      <c r="D46" s="65">
        <v>4275.0</v>
      </c>
      <c r="E46" s="65">
        <v>2640.0</v>
      </c>
      <c r="F46" s="65"/>
      <c r="G46" s="73">
        <f t="shared" si="2"/>
        <v>6915</v>
      </c>
    </row>
    <row r="47" ht="15.75" customHeight="1">
      <c r="B47" s="68">
        <v>307.0</v>
      </c>
      <c r="C47" s="64"/>
      <c r="D47" s="65">
        <v>4125.0</v>
      </c>
      <c r="E47" s="65">
        <v>2640.0</v>
      </c>
      <c r="F47" s="65"/>
      <c r="G47" s="73">
        <f t="shared" si="2"/>
        <v>6765</v>
      </c>
    </row>
    <row r="48" ht="15.75" customHeight="1">
      <c r="B48" s="68">
        <v>401.0</v>
      </c>
      <c r="C48" s="64"/>
      <c r="D48" s="65">
        <v>2625.0</v>
      </c>
      <c r="E48" s="65">
        <v>2640.0</v>
      </c>
      <c r="F48" s="65"/>
      <c r="G48" s="73">
        <f t="shared" si="2"/>
        <v>5265</v>
      </c>
    </row>
    <row r="49" ht="15.75" customHeight="1">
      <c r="B49" s="68">
        <v>502.0</v>
      </c>
      <c r="C49" s="64"/>
      <c r="D49" s="65">
        <v>5812.0</v>
      </c>
      <c r="E49" s="65">
        <v>2640.0</v>
      </c>
      <c r="F49" s="65"/>
      <c r="G49" s="73">
        <f t="shared" si="2"/>
        <v>8452</v>
      </c>
    </row>
    <row r="50" ht="15.75" customHeight="1">
      <c r="B50" s="68"/>
      <c r="C50" s="64"/>
      <c r="D50" s="65"/>
      <c r="E50" s="65"/>
      <c r="F50" s="65"/>
      <c r="G50" s="65"/>
    </row>
    <row r="51" ht="15.75" customHeight="1">
      <c r="B51" s="68"/>
      <c r="C51" s="64"/>
      <c r="D51" s="65"/>
      <c r="E51" s="65"/>
      <c r="F51" s="65"/>
      <c r="G51" s="65"/>
    </row>
    <row r="52" ht="15.75" customHeight="1">
      <c r="B52" s="68"/>
      <c r="C52" s="64"/>
      <c r="D52" s="65"/>
      <c r="E52" s="65"/>
      <c r="F52" s="65"/>
      <c r="G52" s="65"/>
    </row>
    <row r="53" ht="15.75" customHeight="1">
      <c r="B53" s="68"/>
      <c r="C53" s="64"/>
      <c r="D53" s="65"/>
      <c r="E53" s="65"/>
      <c r="F53" s="65"/>
      <c r="G53" s="65"/>
    </row>
    <row r="54" ht="15.75" customHeight="1">
      <c r="B54" s="68"/>
      <c r="C54" s="64"/>
      <c r="D54" s="65"/>
      <c r="E54" s="65"/>
      <c r="F54" s="65"/>
      <c r="G54" s="65"/>
    </row>
    <row r="55" ht="15.75" customHeight="1">
      <c r="B55" s="68"/>
      <c r="C55" s="64"/>
      <c r="D55" s="65"/>
      <c r="E55" s="65"/>
      <c r="F55" s="65"/>
      <c r="G55" s="65"/>
    </row>
    <row r="56" ht="15.75" customHeight="1">
      <c r="B56" s="68"/>
      <c r="C56" s="64"/>
      <c r="D56" s="65"/>
      <c r="E56" s="65"/>
      <c r="F56" s="65"/>
      <c r="G56" s="65"/>
    </row>
    <row r="57" ht="15.75" customHeight="1">
      <c r="B57" s="68"/>
      <c r="C57" s="64"/>
      <c r="D57" s="65"/>
      <c r="E57" s="65"/>
      <c r="F57" s="65"/>
      <c r="G57" s="65"/>
    </row>
    <row r="58" ht="15.75" customHeight="1">
      <c r="B58" s="68"/>
      <c r="C58" s="64"/>
      <c r="D58" s="65"/>
      <c r="E58" s="65"/>
      <c r="F58" s="65"/>
      <c r="G58" s="65"/>
    </row>
    <row r="59" ht="15.75" customHeight="1">
      <c r="D59" s="74">
        <f t="shared" ref="D59:E59" si="3">SUM(D25:D58)</f>
        <v>107173</v>
      </c>
      <c r="E59" s="74">
        <f t="shared" si="3"/>
        <v>60480</v>
      </c>
      <c r="F59" s="74">
        <f>SUM(D59:E59)</f>
        <v>167653</v>
      </c>
      <c r="G59" s="75">
        <f>SUM(G25:G58)</f>
        <v>61559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</sheetData>
  <mergeCells count="1">
    <mergeCell ref="B23:C23"/>
  </mergeCells>
  <printOptions/>
  <pageMargins bottom="0.75" footer="0.0" header="0.0" left="0.7" right="0.7" top="0.75"/>
  <pageSetup fitToHeight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6.43"/>
    <col customWidth="1" min="3" max="3" width="13.57"/>
    <col customWidth="1" min="4" max="4" width="122.0"/>
    <col customWidth="1" min="5" max="5" width="17.71"/>
    <col customWidth="1" min="6" max="26" width="8.71"/>
  </cols>
  <sheetData>
    <row r="2">
      <c r="B2" s="45" t="s">
        <v>56</v>
      </c>
      <c r="C2" s="45" t="s">
        <v>57</v>
      </c>
      <c r="D2" s="45" t="s">
        <v>33</v>
      </c>
      <c r="E2" s="45" t="s">
        <v>34</v>
      </c>
    </row>
    <row r="3">
      <c r="B3" s="61">
        <v>307.0</v>
      </c>
      <c r="C3" s="62">
        <v>44749.0</v>
      </c>
      <c r="D3" s="63" t="s">
        <v>72</v>
      </c>
      <c r="E3" s="48">
        <v>7700.0</v>
      </c>
    </row>
    <row r="4">
      <c r="B4" s="68">
        <v>101.0</v>
      </c>
      <c r="C4" s="64">
        <v>45256.0</v>
      </c>
      <c r="D4" s="76" t="s">
        <v>73</v>
      </c>
      <c r="E4" s="65">
        <v>8800.0</v>
      </c>
    </row>
    <row r="5">
      <c r="B5" s="68">
        <v>101.0</v>
      </c>
      <c r="C5" s="64">
        <v>45424.0</v>
      </c>
      <c r="D5" s="76" t="s">
        <v>74</v>
      </c>
      <c r="E5" s="65">
        <v>3200.0</v>
      </c>
    </row>
    <row r="6">
      <c r="B6" s="68">
        <v>502.0</v>
      </c>
      <c r="C6" s="64">
        <v>45421.0</v>
      </c>
      <c r="D6" s="76" t="s">
        <v>75</v>
      </c>
      <c r="E6" s="65">
        <v>10000.0</v>
      </c>
    </row>
    <row r="7">
      <c r="B7" s="68">
        <v>207.0</v>
      </c>
      <c r="C7" s="64">
        <v>45424.0</v>
      </c>
      <c r="D7" s="76" t="s">
        <v>76</v>
      </c>
      <c r="E7" s="65">
        <v>5000.0</v>
      </c>
    </row>
    <row r="8">
      <c r="B8" s="68">
        <v>502.0</v>
      </c>
      <c r="C8" s="64">
        <v>45439.0</v>
      </c>
      <c r="D8" s="76" t="s">
        <v>77</v>
      </c>
      <c r="E8" s="65">
        <v>4300.0</v>
      </c>
    </row>
    <row r="9">
      <c r="B9" s="68">
        <v>207.0</v>
      </c>
      <c r="C9" s="64">
        <v>45607.0</v>
      </c>
      <c r="D9" s="76" t="s">
        <v>78</v>
      </c>
      <c r="E9" s="65">
        <v>5000.0</v>
      </c>
    </row>
    <row r="10">
      <c r="B10" s="68">
        <v>303.0</v>
      </c>
      <c r="C10" s="64">
        <v>45678.0</v>
      </c>
      <c r="D10" s="76" t="s">
        <v>79</v>
      </c>
      <c r="E10" s="65">
        <v>5000.0</v>
      </c>
    </row>
    <row r="11">
      <c r="B11" s="68">
        <v>207.0</v>
      </c>
      <c r="C11" s="64">
        <v>45965.0</v>
      </c>
      <c r="D11" s="76" t="s">
        <v>80</v>
      </c>
      <c r="E11" s="65">
        <v>1000.0</v>
      </c>
    </row>
    <row r="12">
      <c r="B12" s="68">
        <v>207.0</v>
      </c>
      <c r="C12" s="64">
        <v>46007.0</v>
      </c>
      <c r="D12" s="76" t="s">
        <v>81</v>
      </c>
      <c r="E12" s="65">
        <v>1000.0</v>
      </c>
    </row>
    <row r="13">
      <c r="B13" s="68">
        <v>207.0</v>
      </c>
      <c r="C13" s="64">
        <v>46034.0</v>
      </c>
      <c r="D13" s="76" t="s">
        <v>82</v>
      </c>
      <c r="E13" s="65">
        <v>1000.0</v>
      </c>
    </row>
    <row r="14">
      <c r="B14" s="68">
        <v>205.0</v>
      </c>
      <c r="C14" s="64">
        <v>46056.0</v>
      </c>
      <c r="D14" s="76" t="s">
        <v>83</v>
      </c>
      <c r="E14" s="65">
        <v>10000.0</v>
      </c>
    </row>
    <row r="15">
      <c r="B15" s="68">
        <v>205.0</v>
      </c>
      <c r="C15" s="64">
        <v>46080.0</v>
      </c>
      <c r="D15" s="76" t="s">
        <v>84</v>
      </c>
      <c r="E15" s="65">
        <v>4400.0</v>
      </c>
    </row>
    <row r="16">
      <c r="B16" s="68">
        <v>207.0</v>
      </c>
      <c r="C16" s="64">
        <v>46118.0</v>
      </c>
      <c r="D16" s="76" t="s">
        <v>85</v>
      </c>
      <c r="E16" s="65">
        <v>2000.0</v>
      </c>
    </row>
    <row r="17">
      <c r="B17" s="68">
        <v>101.0</v>
      </c>
      <c r="C17" s="64">
        <v>46127.0</v>
      </c>
      <c r="D17" s="76" t="s">
        <v>86</v>
      </c>
      <c r="E17" s="65">
        <v>2000.0</v>
      </c>
    </row>
    <row r="18">
      <c r="B18" s="68">
        <v>207.0</v>
      </c>
      <c r="C18" s="64">
        <v>46146.0</v>
      </c>
      <c r="D18" s="76" t="s">
        <v>87</v>
      </c>
      <c r="E18" s="65">
        <v>1000.0</v>
      </c>
    </row>
    <row r="19">
      <c r="B19" s="68">
        <v>101.0</v>
      </c>
      <c r="C19" s="64">
        <v>46151.0</v>
      </c>
      <c r="D19" s="76" t="s">
        <v>88</v>
      </c>
      <c r="E19" s="65">
        <v>2000.0</v>
      </c>
    </row>
    <row r="20">
      <c r="B20" s="68">
        <v>207.0</v>
      </c>
      <c r="C20" s="64">
        <v>46183.0</v>
      </c>
      <c r="D20" s="76" t="s">
        <v>89</v>
      </c>
      <c r="E20" s="65">
        <v>1000.0</v>
      </c>
    </row>
    <row r="21" ht="15.75" customHeight="1">
      <c r="B21" s="68">
        <v>207.0</v>
      </c>
      <c r="C21" s="64">
        <v>46213.0</v>
      </c>
      <c r="D21" s="76" t="s">
        <v>90</v>
      </c>
      <c r="E21" s="65">
        <v>1000.0</v>
      </c>
    </row>
    <row r="22" ht="15.75" customHeight="1">
      <c r="B22" s="68">
        <v>504.0</v>
      </c>
      <c r="C22" s="64">
        <v>46204.0</v>
      </c>
      <c r="D22" s="76" t="s">
        <v>91</v>
      </c>
      <c r="E22" s="65">
        <v>1000.0</v>
      </c>
    </row>
    <row r="23" ht="15.75" customHeight="1">
      <c r="B23" s="68">
        <v>207.0</v>
      </c>
      <c r="C23" s="64">
        <v>46245.0</v>
      </c>
      <c r="D23" s="76" t="s">
        <v>92</v>
      </c>
      <c r="E23" s="65">
        <v>1000.0</v>
      </c>
    </row>
    <row r="24" ht="15.75" customHeight="1">
      <c r="B24" s="68">
        <v>207.0</v>
      </c>
      <c r="C24" s="64">
        <v>46275.0</v>
      </c>
      <c r="D24" s="76" t="s">
        <v>93</v>
      </c>
      <c r="E24" s="65">
        <v>1000.0</v>
      </c>
    </row>
    <row r="25" ht="15.75" customHeight="1">
      <c r="B25" s="68">
        <v>207.0</v>
      </c>
      <c r="C25" s="64">
        <v>46310.0</v>
      </c>
      <c r="D25" s="76" t="s">
        <v>94</v>
      </c>
      <c r="E25" s="65">
        <v>1000.0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7.71"/>
    <col customWidth="1" min="3" max="3" width="60.14"/>
    <col customWidth="1" min="4" max="6" width="17.71"/>
    <col customWidth="1" min="7" max="7" width="51.71"/>
    <col customWidth="1" min="8" max="17" width="17.71"/>
    <col customWidth="1" min="18" max="27" width="8.71"/>
  </cols>
  <sheetData>
    <row r="1">
      <c r="A1" s="77"/>
      <c r="B1" s="77"/>
      <c r="C1" s="77"/>
      <c r="D1" s="77"/>
      <c r="E1" s="77"/>
      <c r="F1" s="77"/>
      <c r="G1" s="77"/>
      <c r="H1" s="77"/>
    </row>
    <row r="2">
      <c r="A2" s="77"/>
      <c r="B2" s="78" t="s">
        <v>95</v>
      </c>
      <c r="C2" s="79"/>
      <c r="D2" s="77"/>
      <c r="E2" s="77"/>
      <c r="F2" s="77"/>
      <c r="G2" s="78" t="s">
        <v>96</v>
      </c>
    </row>
    <row r="3">
      <c r="A3" s="77"/>
      <c r="B3" s="45" t="s">
        <v>56</v>
      </c>
      <c r="C3" s="45" t="s">
        <v>33</v>
      </c>
      <c r="D3" s="45" t="s">
        <v>34</v>
      </c>
      <c r="E3" s="77"/>
      <c r="F3" s="77"/>
      <c r="G3" s="45" t="s">
        <v>33</v>
      </c>
      <c r="H3" s="45" t="s">
        <v>34</v>
      </c>
      <c r="I3" s="77"/>
      <c r="J3" s="77"/>
      <c r="K3" s="77"/>
      <c r="L3" s="77"/>
      <c r="M3" s="77"/>
      <c r="N3" s="77"/>
    </row>
    <row r="4">
      <c r="A4" s="77"/>
      <c r="B4" s="68">
        <v>102.0</v>
      </c>
      <c r="C4" s="76" t="s">
        <v>97</v>
      </c>
      <c r="D4" s="65">
        <v>12100.0</v>
      </c>
      <c r="E4" s="77"/>
      <c r="F4" s="77"/>
      <c r="G4" s="76" t="s">
        <v>98</v>
      </c>
      <c r="H4" s="65">
        <v>181220.0</v>
      </c>
      <c r="I4" s="77"/>
      <c r="J4" s="77"/>
      <c r="K4" s="77"/>
      <c r="L4" s="77"/>
      <c r="M4" s="77"/>
      <c r="N4" s="77"/>
      <c r="O4" s="80"/>
      <c r="P4" s="80"/>
      <c r="Q4" s="77"/>
    </row>
    <row r="5">
      <c r="A5" s="81"/>
      <c r="B5" s="68">
        <v>203.0</v>
      </c>
      <c r="C5" s="76" t="s">
        <v>97</v>
      </c>
      <c r="D5" s="65">
        <v>11000.0</v>
      </c>
      <c r="E5" s="82"/>
      <c r="F5" s="82"/>
      <c r="G5" s="76" t="s">
        <v>99</v>
      </c>
      <c r="H5" s="65">
        <v>115000.0</v>
      </c>
      <c r="I5" s="82"/>
      <c r="J5" s="82"/>
      <c r="K5" s="82"/>
      <c r="L5" s="82"/>
      <c r="M5" s="82"/>
      <c r="N5" s="82"/>
      <c r="O5" s="82"/>
      <c r="P5" s="82"/>
      <c r="Q5" s="82"/>
    </row>
    <row r="6">
      <c r="A6" s="81"/>
      <c r="B6" s="68">
        <v>205.0</v>
      </c>
      <c r="C6" s="76" t="s">
        <v>100</v>
      </c>
      <c r="D6" s="65">
        <v>9600.0</v>
      </c>
      <c r="E6" s="82"/>
      <c r="F6" s="82"/>
      <c r="G6" s="76" t="s">
        <v>40</v>
      </c>
      <c r="H6" s="65">
        <v>68013.0</v>
      </c>
      <c r="I6" s="82"/>
      <c r="J6" s="82"/>
      <c r="K6" s="82"/>
      <c r="L6" s="82"/>
      <c r="M6" s="82"/>
      <c r="N6" s="82"/>
      <c r="O6" s="82"/>
      <c r="P6" s="82"/>
      <c r="Q6" s="82"/>
    </row>
    <row r="7">
      <c r="A7" s="81"/>
      <c r="B7" s="68">
        <v>207.0</v>
      </c>
      <c r="C7" s="76" t="s">
        <v>97</v>
      </c>
      <c r="D7" s="65">
        <v>9450.0</v>
      </c>
      <c r="E7" s="82"/>
      <c r="F7" s="82"/>
      <c r="G7" s="76" t="s">
        <v>38</v>
      </c>
      <c r="H7" s="65">
        <v>317850.0</v>
      </c>
      <c r="I7" s="82"/>
      <c r="J7" s="82"/>
      <c r="K7" s="82"/>
      <c r="L7" s="82"/>
      <c r="M7" s="82"/>
      <c r="N7" s="82"/>
      <c r="O7" s="82"/>
      <c r="P7" s="82"/>
      <c r="Q7" s="82"/>
    </row>
    <row r="8">
      <c r="A8" s="81"/>
      <c r="B8" s="61"/>
      <c r="C8" s="63"/>
      <c r="D8" s="48"/>
      <c r="E8" s="82"/>
      <c r="F8" s="82"/>
      <c r="G8" s="76" t="s">
        <v>101</v>
      </c>
      <c r="H8" s="65">
        <v>17150.0</v>
      </c>
      <c r="I8" s="82"/>
      <c r="J8" s="82"/>
      <c r="K8" s="82"/>
      <c r="L8" s="82"/>
      <c r="M8" s="82"/>
      <c r="N8" s="82"/>
      <c r="O8" s="82"/>
      <c r="P8" s="82"/>
      <c r="Q8" s="82"/>
    </row>
    <row r="9">
      <c r="A9" s="81"/>
      <c r="B9" s="61"/>
      <c r="C9" s="63"/>
      <c r="D9" s="48"/>
      <c r="E9" s="82"/>
      <c r="F9" s="82"/>
      <c r="G9" s="76" t="s">
        <v>102</v>
      </c>
      <c r="H9" s="65">
        <v>21070.0</v>
      </c>
      <c r="I9" s="82"/>
      <c r="J9" s="82"/>
      <c r="K9" s="82"/>
      <c r="L9" s="82"/>
      <c r="M9" s="82"/>
      <c r="N9" s="82"/>
      <c r="O9" s="82"/>
      <c r="P9" s="82"/>
      <c r="Q9" s="82"/>
    </row>
    <row r="10">
      <c r="A10" s="81"/>
      <c r="B10" s="61"/>
      <c r="C10" s="63"/>
      <c r="D10" s="48"/>
      <c r="E10" s="82"/>
      <c r="F10" s="82"/>
      <c r="G10" s="76" t="s">
        <v>103</v>
      </c>
      <c r="H10" s="65">
        <v>67453.0</v>
      </c>
      <c r="I10" s="82"/>
      <c r="J10" s="82"/>
      <c r="K10" s="82"/>
      <c r="L10" s="82"/>
      <c r="M10" s="82"/>
      <c r="N10" s="82"/>
      <c r="O10" s="82"/>
      <c r="P10" s="82"/>
      <c r="Q10" s="82"/>
    </row>
    <row r="11">
      <c r="A11" s="81"/>
      <c r="B11" s="61"/>
      <c r="C11" s="63"/>
      <c r="D11" s="48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</row>
    <row r="12">
      <c r="A12" s="81"/>
      <c r="B12" s="61"/>
      <c r="C12" s="63"/>
      <c r="D12" s="48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</row>
    <row r="13">
      <c r="A13" s="81"/>
      <c r="B13" s="61"/>
      <c r="C13" s="63"/>
      <c r="D13" s="48"/>
      <c r="E13" s="82"/>
      <c r="F13" s="82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</row>
    <row r="14">
      <c r="A14" s="81"/>
      <c r="B14" s="61"/>
      <c r="C14" s="63"/>
      <c r="D14" s="48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</row>
    <row r="15">
      <c r="A15" s="81"/>
      <c r="C15" s="76" t="s">
        <v>9</v>
      </c>
      <c r="D15" s="66">
        <f>SUM(D4:D14)</f>
        <v>42150</v>
      </c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</row>
    <row r="16">
      <c r="A16" s="81"/>
      <c r="B16" s="82"/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</row>
    <row r="17">
      <c r="A17" s="81"/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</row>
    <row r="18">
      <c r="A18" s="81"/>
      <c r="B18" s="82"/>
      <c r="C18" s="82"/>
      <c r="D18" s="82"/>
      <c r="E18" s="82"/>
      <c r="F18" s="77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</row>
    <row r="19">
      <c r="A19" s="81"/>
      <c r="B19" s="82"/>
      <c r="C19" s="82"/>
      <c r="D19" s="82"/>
      <c r="E19" s="82"/>
      <c r="F19" s="77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</row>
    <row r="20" hidden="1">
      <c r="A20" s="81"/>
      <c r="B20" s="82"/>
      <c r="C20" s="82"/>
      <c r="D20" s="82"/>
      <c r="E20" s="82"/>
      <c r="F20" s="77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</row>
    <row r="21" hidden="1">
      <c r="A21" s="81"/>
      <c r="B21" s="82"/>
      <c r="C21" s="82"/>
      <c r="D21" s="82"/>
      <c r="E21" s="82"/>
      <c r="F21" s="77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</row>
    <row r="22" hidden="1">
      <c r="A22" s="81"/>
      <c r="B22" s="82"/>
      <c r="C22" s="82"/>
      <c r="D22" s="82"/>
      <c r="E22" s="82"/>
      <c r="F22" s="77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</row>
    <row r="23" hidden="1">
      <c r="A23" s="81"/>
      <c r="B23" s="82"/>
      <c r="C23" s="82"/>
      <c r="D23" s="82"/>
      <c r="E23" s="82"/>
      <c r="F23" s="77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</row>
    <row r="24" hidden="1">
      <c r="A24" s="81"/>
      <c r="B24" s="82"/>
      <c r="C24" s="82"/>
      <c r="D24" s="82"/>
      <c r="E24" s="82"/>
      <c r="F24" s="77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2"/>
    </row>
    <row r="25" hidden="1">
      <c r="A25" s="81"/>
      <c r="B25" s="82"/>
      <c r="C25" s="82"/>
      <c r="D25" s="82"/>
      <c r="E25" s="82"/>
      <c r="F25" s="77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</row>
    <row r="26">
      <c r="A26" s="81"/>
      <c r="B26" s="82"/>
      <c r="C26" s="82"/>
      <c r="D26" s="82"/>
      <c r="E26" s="82"/>
      <c r="F26" s="77"/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2"/>
    </row>
    <row r="27">
      <c r="A27" s="81"/>
      <c r="B27" s="82"/>
      <c r="C27" s="82"/>
      <c r="D27" s="82"/>
      <c r="E27" s="82"/>
      <c r="F27" s="77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</row>
    <row r="28">
      <c r="A28" s="81"/>
      <c r="B28" s="82"/>
      <c r="C28" s="82"/>
      <c r="D28" s="82"/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</row>
    <row r="29">
      <c r="A29" s="81"/>
      <c r="B29" s="82"/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</row>
    <row r="30">
      <c r="A30" s="81"/>
      <c r="B30" s="82"/>
      <c r="C30" s="82"/>
      <c r="D30" s="82"/>
      <c r="E30" s="82"/>
      <c r="F30" s="82"/>
      <c r="G30" s="82"/>
      <c r="H30" s="82"/>
      <c r="I30" s="82"/>
      <c r="J30" s="82"/>
      <c r="K30" s="82"/>
      <c r="L30" s="82"/>
      <c r="M30" s="82"/>
      <c r="N30" s="82"/>
      <c r="O30" s="82"/>
      <c r="P30" s="82"/>
      <c r="Q30" s="82"/>
    </row>
    <row r="31">
      <c r="A31" s="81"/>
      <c r="B31" s="82"/>
      <c r="C31" s="82"/>
      <c r="D31" s="82"/>
      <c r="E31" s="82"/>
      <c r="F31" s="82"/>
      <c r="G31" s="82"/>
      <c r="H31" s="82"/>
      <c r="I31" s="82"/>
      <c r="J31" s="82"/>
      <c r="K31" s="82"/>
      <c r="L31" s="82"/>
      <c r="M31" s="82"/>
      <c r="N31" s="82"/>
      <c r="O31" s="82"/>
      <c r="P31" s="82"/>
      <c r="Q31" s="82"/>
    </row>
    <row r="32">
      <c r="A32" s="81"/>
      <c r="B32" s="82"/>
      <c r="C32" s="82"/>
      <c r="D32" s="82"/>
      <c r="E32" s="82"/>
      <c r="F32" s="82"/>
      <c r="G32" s="82"/>
      <c r="H32" s="82"/>
      <c r="I32" s="82"/>
      <c r="J32" s="82"/>
      <c r="K32" s="82"/>
      <c r="L32" s="82"/>
      <c r="M32" s="82"/>
      <c r="N32" s="82"/>
      <c r="O32" s="82"/>
      <c r="P32" s="82"/>
      <c r="Q32" s="82"/>
    </row>
    <row r="33">
      <c r="A33" s="81"/>
      <c r="B33" s="82"/>
      <c r="C33" s="82"/>
      <c r="D33" s="82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</row>
    <row r="34">
      <c r="A34" s="81"/>
      <c r="B34" s="82"/>
      <c r="C34" s="82"/>
      <c r="D34" s="82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</row>
    <row r="35">
      <c r="A35" s="81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</row>
    <row r="36">
      <c r="A36" s="81"/>
      <c r="B36" s="82"/>
      <c r="C36" s="82"/>
      <c r="D36" s="82"/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82"/>
      <c r="P36" s="82"/>
      <c r="Q36" s="82"/>
    </row>
    <row r="37">
      <c r="A37" s="81"/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</row>
    <row r="38">
      <c r="A38" s="81"/>
      <c r="B38" s="82"/>
      <c r="C38" s="82"/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</row>
    <row r="39">
      <c r="A39" s="83"/>
      <c r="B39" s="82"/>
      <c r="C39" s="82"/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>
        <f t="shared" ref="Q39:Q40" si="1">SUM(B39:P39)</f>
        <v>0</v>
      </c>
    </row>
    <row r="40">
      <c r="A40" s="83"/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>
        <f t="shared" si="1"/>
        <v>0</v>
      </c>
    </row>
    <row r="41">
      <c r="A41" s="83" t="s">
        <v>9</v>
      </c>
      <c r="B41" s="82">
        <f t="shared" ref="B41:Q41" si="2">SUM(B5:B40)</f>
        <v>615</v>
      </c>
      <c r="C41" s="82">
        <f t="shared" si="2"/>
        <v>0</v>
      </c>
      <c r="D41" s="82">
        <f t="shared" si="2"/>
        <v>72200</v>
      </c>
      <c r="E41" s="82">
        <f t="shared" si="2"/>
        <v>0</v>
      </c>
      <c r="F41" s="82">
        <f t="shared" si="2"/>
        <v>0</v>
      </c>
      <c r="G41" s="82">
        <f t="shared" si="2"/>
        <v>0</v>
      </c>
      <c r="H41" s="82">
        <f t="shared" si="2"/>
        <v>606536</v>
      </c>
      <c r="I41" s="82">
        <f t="shared" si="2"/>
        <v>0</v>
      </c>
      <c r="J41" s="82">
        <f t="shared" si="2"/>
        <v>0</v>
      </c>
      <c r="K41" s="82">
        <f t="shared" si="2"/>
        <v>0</v>
      </c>
      <c r="L41" s="82">
        <f t="shared" si="2"/>
        <v>0</v>
      </c>
      <c r="M41" s="82">
        <f t="shared" si="2"/>
        <v>0</v>
      </c>
      <c r="N41" s="82">
        <f t="shared" si="2"/>
        <v>0</v>
      </c>
      <c r="O41" s="82">
        <f t="shared" si="2"/>
        <v>0</v>
      </c>
      <c r="P41" s="82">
        <f t="shared" si="2"/>
        <v>0</v>
      </c>
      <c r="Q41" s="82">
        <f t="shared" si="2"/>
        <v>0</v>
      </c>
    </row>
    <row r="42">
      <c r="A42" s="83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</row>
    <row r="43">
      <c r="A43" s="83"/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</row>
    <row r="44">
      <c r="A44" s="83"/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</row>
    <row r="45">
      <c r="A45" s="83"/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</row>
    <row r="46">
      <c r="A46" s="83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</row>
    <row r="47">
      <c r="A47" s="83"/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</row>
    <row r="48">
      <c r="A48" s="83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</row>
    <row r="49">
      <c r="A49" s="83"/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</row>
    <row r="50">
      <c r="A50" s="83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</row>
    <row r="51">
      <c r="A51" s="83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</row>
    <row r="52">
      <c r="A52" s="83"/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</row>
    <row r="53">
      <c r="A53" s="77"/>
    </row>
  </sheetData>
  <printOptions/>
  <pageMargins bottom="0.75" footer="0.0" header="0.0" left="0.25" right="0.25" top="0.75"/>
  <pageSetup fitToHeight="0" paperSize="8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22.0"/>
    <col customWidth="1" min="2" max="16" width="17.71"/>
    <col customWidth="1" min="17" max="18" width="8.71"/>
    <col customWidth="1" min="19" max="19" width="21.71"/>
    <col customWidth="1" min="20" max="20" width="35.57"/>
    <col customWidth="1" min="21" max="21" width="15.29"/>
    <col customWidth="1" min="22" max="26" width="8.71"/>
  </cols>
  <sheetData>
    <row r="1">
      <c r="A1" s="4" t="s">
        <v>25</v>
      </c>
      <c r="B1" s="14"/>
      <c r="C1" s="14"/>
      <c r="D1" s="14"/>
      <c r="E1" s="14"/>
      <c r="F1" s="14"/>
      <c r="G1" s="14"/>
      <c r="H1" s="15"/>
    </row>
    <row r="2">
      <c r="A2" s="16" t="s">
        <v>26</v>
      </c>
      <c r="B2" s="17"/>
      <c r="C2" s="17"/>
      <c r="D2" s="17"/>
      <c r="E2" s="17"/>
      <c r="F2" s="17"/>
      <c r="G2" s="17"/>
      <c r="H2" s="18"/>
    </row>
    <row r="3">
      <c r="A3" s="19" t="s">
        <v>27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S3" s="19" t="s">
        <v>104</v>
      </c>
    </row>
    <row r="4">
      <c r="A4" s="21" t="s">
        <v>28</v>
      </c>
      <c r="B4" s="84">
        <v>101.0</v>
      </c>
      <c r="C4" s="85">
        <v>103.0</v>
      </c>
      <c r="D4" s="85">
        <v>104.0</v>
      </c>
      <c r="E4" s="85">
        <v>105.0</v>
      </c>
      <c r="F4" s="85">
        <v>202.0</v>
      </c>
      <c r="G4" s="85">
        <v>206.0</v>
      </c>
      <c r="H4" s="85">
        <v>304.0</v>
      </c>
      <c r="I4" s="85">
        <v>305.0</v>
      </c>
      <c r="J4" s="85">
        <v>406.0</v>
      </c>
      <c r="K4" s="85">
        <v>407.0</v>
      </c>
      <c r="L4" s="85">
        <v>501.0</v>
      </c>
      <c r="M4" s="85">
        <v>503.0</v>
      </c>
      <c r="N4" s="85">
        <v>505.0</v>
      </c>
      <c r="O4" s="85">
        <v>506.0</v>
      </c>
      <c r="P4" s="22" t="s">
        <v>9</v>
      </c>
      <c r="S4" s="21" t="s">
        <v>57</v>
      </c>
      <c r="T4" s="21" t="s">
        <v>33</v>
      </c>
      <c r="U4" s="21" t="s">
        <v>34</v>
      </c>
    </row>
    <row r="5" ht="30.0" customHeight="1">
      <c r="A5" s="23">
        <v>44702.0</v>
      </c>
      <c r="B5" s="24"/>
      <c r="C5" s="24"/>
      <c r="D5" s="86">
        <v>0.0</v>
      </c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>
        <f t="shared" ref="P5:P30" si="1">SUM(B5:O5)</f>
        <v>0</v>
      </c>
      <c r="S5" s="87">
        <v>44808.0</v>
      </c>
      <c r="T5" s="88" t="s">
        <v>105</v>
      </c>
      <c r="U5" s="24">
        <v>30000.0</v>
      </c>
    </row>
    <row r="6" ht="30.0" customHeight="1">
      <c r="A6" s="23">
        <v>44734.0</v>
      </c>
      <c r="B6" s="86">
        <v>350.0</v>
      </c>
      <c r="C6" s="86">
        <v>550.0</v>
      </c>
      <c r="D6" s="86">
        <v>0.0</v>
      </c>
      <c r="E6" s="86">
        <v>400.0</v>
      </c>
      <c r="F6" s="25"/>
      <c r="G6" s="24"/>
      <c r="H6" s="86">
        <v>560.0</v>
      </c>
      <c r="I6" s="86">
        <v>400.0</v>
      </c>
      <c r="J6" s="24"/>
      <c r="K6" s="86">
        <v>550.0</v>
      </c>
      <c r="L6" s="24"/>
      <c r="M6" s="24"/>
      <c r="N6" s="86">
        <v>400.0</v>
      </c>
      <c r="O6" s="24"/>
      <c r="P6" s="24">
        <f t="shared" si="1"/>
        <v>3210</v>
      </c>
      <c r="S6" s="87">
        <v>44879.0</v>
      </c>
      <c r="T6" s="88" t="s">
        <v>106</v>
      </c>
      <c r="U6" s="86">
        <v>35000.0</v>
      </c>
    </row>
    <row r="7" ht="30.0" customHeight="1">
      <c r="A7" s="23">
        <v>44764.0</v>
      </c>
      <c r="B7" s="86">
        <v>350.0</v>
      </c>
      <c r="C7" s="86">
        <v>550.0</v>
      </c>
      <c r="D7" s="86">
        <v>0.0</v>
      </c>
      <c r="E7" s="86">
        <v>400.0</v>
      </c>
      <c r="F7" s="25"/>
      <c r="G7" s="86">
        <v>570.0</v>
      </c>
      <c r="H7" s="86">
        <v>560.0</v>
      </c>
      <c r="I7" s="86">
        <v>400.0</v>
      </c>
      <c r="J7" s="86">
        <v>570.0</v>
      </c>
      <c r="K7" s="86">
        <v>550.0</v>
      </c>
      <c r="L7" s="86"/>
      <c r="M7" s="24"/>
      <c r="N7" s="86">
        <v>400.0</v>
      </c>
      <c r="O7" s="24"/>
      <c r="P7" s="24">
        <f t="shared" si="1"/>
        <v>4350</v>
      </c>
      <c r="S7" s="87">
        <v>45082.0</v>
      </c>
      <c r="T7" s="88" t="s">
        <v>106</v>
      </c>
      <c r="U7" s="86">
        <v>50000.0</v>
      </c>
    </row>
    <row r="8" ht="30.0" hidden="1" customHeight="1">
      <c r="A8" s="23"/>
      <c r="B8" s="24"/>
      <c r="C8" s="24"/>
      <c r="D8" s="24"/>
      <c r="E8" s="24"/>
      <c r="F8" s="25"/>
      <c r="G8" s="24"/>
      <c r="H8" s="24"/>
      <c r="I8" s="24"/>
      <c r="J8" s="24"/>
      <c r="K8" s="24"/>
      <c r="L8" s="24"/>
      <c r="M8" s="24"/>
      <c r="N8" s="24"/>
      <c r="O8" s="24"/>
      <c r="P8" s="24">
        <f t="shared" si="1"/>
        <v>0</v>
      </c>
      <c r="S8" s="62">
        <v>44658.0</v>
      </c>
      <c r="T8" s="63" t="s">
        <v>58</v>
      </c>
      <c r="U8" s="48">
        <v>12630.0</v>
      </c>
    </row>
    <row r="9" ht="30.0" hidden="1" customHeight="1">
      <c r="A9" s="23"/>
      <c r="B9" s="24"/>
      <c r="C9" s="24"/>
      <c r="D9" s="24"/>
      <c r="E9" s="24"/>
      <c r="F9" s="25"/>
      <c r="G9" s="24"/>
      <c r="H9" s="24"/>
      <c r="I9" s="24"/>
      <c r="J9" s="24"/>
      <c r="K9" s="24"/>
      <c r="L9" s="24"/>
      <c r="M9" s="24"/>
      <c r="N9" s="24"/>
      <c r="O9" s="24"/>
      <c r="P9" s="24">
        <f t="shared" si="1"/>
        <v>0</v>
      </c>
    </row>
    <row r="10" ht="30.0" hidden="1" customHeight="1">
      <c r="A10" s="23"/>
      <c r="B10" s="24"/>
      <c r="C10" s="24"/>
      <c r="D10" s="24"/>
      <c r="E10" s="24"/>
      <c r="F10" s="25"/>
      <c r="G10" s="24"/>
      <c r="H10" s="24"/>
      <c r="I10" s="24"/>
      <c r="J10" s="24"/>
      <c r="K10" s="24"/>
      <c r="L10" s="24"/>
      <c r="M10" s="24"/>
      <c r="N10" s="24"/>
      <c r="O10" s="24"/>
      <c r="P10" s="24">
        <f t="shared" si="1"/>
        <v>0</v>
      </c>
    </row>
    <row r="11" ht="30.0" hidden="1" customHeight="1">
      <c r="A11" s="23"/>
      <c r="B11" s="24"/>
      <c r="C11" s="24"/>
      <c r="D11" s="24"/>
      <c r="E11" s="24"/>
      <c r="F11" s="25"/>
      <c r="G11" s="24"/>
      <c r="H11" s="24"/>
      <c r="I11" s="24"/>
      <c r="J11" s="24"/>
      <c r="K11" s="24"/>
      <c r="L11" s="24"/>
      <c r="M11" s="24"/>
      <c r="N11" s="24"/>
      <c r="O11" s="24"/>
      <c r="P11" s="24">
        <f t="shared" si="1"/>
        <v>0</v>
      </c>
    </row>
    <row r="12" ht="30.0" hidden="1" customHeight="1">
      <c r="A12" s="23"/>
      <c r="B12" s="24"/>
      <c r="C12" s="24"/>
      <c r="D12" s="24"/>
      <c r="E12" s="24"/>
      <c r="F12" s="25"/>
      <c r="G12" s="24"/>
      <c r="H12" s="24"/>
      <c r="I12" s="24"/>
      <c r="J12" s="24"/>
      <c r="K12" s="24"/>
      <c r="L12" s="24"/>
      <c r="M12" s="24"/>
      <c r="N12" s="24"/>
      <c r="O12" s="24"/>
      <c r="P12" s="24">
        <f t="shared" si="1"/>
        <v>0</v>
      </c>
    </row>
    <row r="13" ht="30.0" hidden="1" customHeight="1">
      <c r="A13" s="23"/>
      <c r="B13" s="24"/>
      <c r="C13" s="24"/>
      <c r="D13" s="24"/>
      <c r="E13" s="24"/>
      <c r="F13" s="25"/>
      <c r="G13" s="24"/>
      <c r="H13" s="24"/>
      <c r="I13" s="24"/>
      <c r="J13" s="24"/>
      <c r="K13" s="24"/>
      <c r="L13" s="24"/>
      <c r="M13" s="24"/>
      <c r="N13" s="24"/>
      <c r="O13" s="24"/>
      <c r="P13" s="24">
        <f t="shared" si="1"/>
        <v>0</v>
      </c>
    </row>
    <row r="14" ht="30.0" customHeight="1">
      <c r="A14" s="26">
        <v>44795.0</v>
      </c>
      <c r="B14" s="86">
        <v>800.0</v>
      </c>
      <c r="C14" s="86">
        <v>1000.0</v>
      </c>
      <c r="D14" s="86">
        <v>1000.0</v>
      </c>
      <c r="E14" s="86">
        <v>800.0</v>
      </c>
      <c r="F14" s="89">
        <v>1100.0</v>
      </c>
      <c r="G14" s="86">
        <v>1000.0</v>
      </c>
      <c r="H14" s="86">
        <v>1000.0</v>
      </c>
      <c r="I14" s="86">
        <v>800.0</v>
      </c>
      <c r="J14" s="86">
        <v>1000.0</v>
      </c>
      <c r="K14" s="86">
        <v>1000.0</v>
      </c>
      <c r="L14" s="86">
        <v>800.0</v>
      </c>
      <c r="M14" s="86">
        <v>1000.0</v>
      </c>
      <c r="N14" s="86">
        <v>800.0</v>
      </c>
      <c r="O14" s="86">
        <v>1000.0</v>
      </c>
      <c r="P14" s="24">
        <f t="shared" si="1"/>
        <v>13100</v>
      </c>
    </row>
    <row r="15" ht="30.0" customHeight="1">
      <c r="A15" s="26">
        <v>44826.0</v>
      </c>
      <c r="B15" s="86">
        <v>800.0</v>
      </c>
      <c r="C15" s="86">
        <v>1000.0</v>
      </c>
      <c r="D15" s="86">
        <v>1000.0</v>
      </c>
      <c r="E15" s="86">
        <v>800.0</v>
      </c>
      <c r="F15" s="89">
        <v>1100.0</v>
      </c>
      <c r="G15" s="86">
        <v>1000.0</v>
      </c>
      <c r="H15" s="86">
        <v>1000.0</v>
      </c>
      <c r="I15" s="86">
        <v>800.0</v>
      </c>
      <c r="J15" s="86">
        <v>1000.0</v>
      </c>
      <c r="K15" s="86">
        <v>1000.0</v>
      </c>
      <c r="L15" s="86">
        <v>800.0</v>
      </c>
      <c r="M15" s="86">
        <v>1000.0</v>
      </c>
      <c r="N15" s="86">
        <v>800.0</v>
      </c>
      <c r="O15" s="86">
        <v>1000.0</v>
      </c>
      <c r="P15" s="24">
        <f t="shared" si="1"/>
        <v>13100</v>
      </c>
    </row>
    <row r="16" ht="30.0" customHeight="1">
      <c r="A16" s="26">
        <v>44856.0</v>
      </c>
      <c r="B16" s="86">
        <v>800.0</v>
      </c>
      <c r="C16" s="86">
        <v>1000.0</v>
      </c>
      <c r="D16" s="86">
        <v>1000.0</v>
      </c>
      <c r="E16" s="86">
        <v>800.0</v>
      </c>
      <c r="F16" s="89">
        <v>1100.0</v>
      </c>
      <c r="G16" s="86">
        <v>1000.0</v>
      </c>
      <c r="H16" s="86">
        <v>1000.0</v>
      </c>
      <c r="I16" s="86">
        <v>800.0</v>
      </c>
      <c r="J16" s="86">
        <v>1000.0</v>
      </c>
      <c r="K16" s="86">
        <v>1000.0</v>
      </c>
      <c r="L16" s="86">
        <v>800.0</v>
      </c>
      <c r="M16" s="86">
        <v>1000.0</v>
      </c>
      <c r="N16" s="86">
        <v>800.0</v>
      </c>
      <c r="O16" s="86">
        <v>1000.0</v>
      </c>
      <c r="P16" s="24">
        <f t="shared" si="1"/>
        <v>13100</v>
      </c>
    </row>
    <row r="17" ht="30.0" customHeight="1">
      <c r="A17" s="26">
        <v>44887.0</v>
      </c>
      <c r="B17" s="86"/>
      <c r="C17" s="86">
        <v>1000.0</v>
      </c>
      <c r="D17" s="86">
        <v>1000.0</v>
      </c>
      <c r="E17" s="86">
        <v>800.0</v>
      </c>
      <c r="F17" s="89">
        <v>1100.0</v>
      </c>
      <c r="G17" s="86">
        <v>1000.0</v>
      </c>
      <c r="H17" s="86">
        <v>1000.0</v>
      </c>
      <c r="I17" s="86">
        <v>800.0</v>
      </c>
      <c r="J17" s="86">
        <v>1000.0</v>
      </c>
      <c r="K17" s="86">
        <v>1000.0</v>
      </c>
      <c r="L17" s="86">
        <v>800.0</v>
      </c>
      <c r="M17" s="86">
        <v>1000.0</v>
      </c>
      <c r="N17" s="86">
        <v>800.0</v>
      </c>
      <c r="O17" s="86">
        <v>1000.0</v>
      </c>
      <c r="P17" s="24">
        <f t="shared" si="1"/>
        <v>12300</v>
      </c>
    </row>
    <row r="18" ht="30.0" customHeight="1">
      <c r="A18" s="26">
        <v>44917.0</v>
      </c>
      <c r="B18" s="86"/>
      <c r="C18" s="86">
        <v>1000.0</v>
      </c>
      <c r="D18" s="86">
        <v>1000.0</v>
      </c>
      <c r="E18" s="86">
        <v>800.0</v>
      </c>
      <c r="F18" s="89">
        <v>1100.0</v>
      </c>
      <c r="G18" s="86">
        <v>1000.0</v>
      </c>
      <c r="H18" s="86">
        <v>1000.0</v>
      </c>
      <c r="I18" s="86">
        <v>800.0</v>
      </c>
      <c r="J18" s="86">
        <v>1000.0</v>
      </c>
      <c r="K18" s="86">
        <v>1000.0</v>
      </c>
      <c r="L18" s="86">
        <v>800.0</v>
      </c>
      <c r="M18" s="86">
        <v>1000.0</v>
      </c>
      <c r="N18" s="86">
        <v>800.0</v>
      </c>
      <c r="O18" s="86">
        <v>1000.0</v>
      </c>
      <c r="P18" s="24">
        <f t="shared" si="1"/>
        <v>12300</v>
      </c>
    </row>
    <row r="19" ht="30.0" customHeight="1">
      <c r="A19" s="26">
        <v>44949.0</v>
      </c>
      <c r="B19" s="86"/>
      <c r="C19" s="86">
        <v>1000.0</v>
      </c>
      <c r="D19" s="86">
        <v>1000.0</v>
      </c>
      <c r="E19" s="86">
        <v>800.0</v>
      </c>
      <c r="F19" s="89">
        <v>1100.0</v>
      </c>
      <c r="G19" s="86">
        <v>1000.0</v>
      </c>
      <c r="H19" s="86">
        <v>1000.0</v>
      </c>
      <c r="I19" s="86">
        <v>800.0</v>
      </c>
      <c r="J19" s="86">
        <v>1000.0</v>
      </c>
      <c r="K19" s="86">
        <v>1000.0</v>
      </c>
      <c r="L19" s="86">
        <v>800.0</v>
      </c>
      <c r="M19" s="86">
        <v>1000.0</v>
      </c>
      <c r="N19" s="86">
        <v>800.0</v>
      </c>
      <c r="O19" s="86">
        <v>1000.0</v>
      </c>
      <c r="P19" s="24">
        <f t="shared" si="1"/>
        <v>12300</v>
      </c>
    </row>
    <row r="20" ht="30.0" customHeight="1">
      <c r="A20" s="26">
        <v>44980.0</v>
      </c>
      <c r="B20" s="86"/>
      <c r="C20" s="86">
        <v>1000.0</v>
      </c>
      <c r="D20" s="86">
        <v>1000.0</v>
      </c>
      <c r="E20" s="86">
        <v>800.0</v>
      </c>
      <c r="F20" s="89">
        <v>1100.0</v>
      </c>
      <c r="G20" s="86">
        <v>1000.0</v>
      </c>
      <c r="H20" s="86">
        <v>1000.0</v>
      </c>
      <c r="I20" s="86">
        <v>800.0</v>
      </c>
      <c r="J20" s="86">
        <v>1000.0</v>
      </c>
      <c r="K20" s="86">
        <v>1000.0</v>
      </c>
      <c r="L20" s="86">
        <v>800.0</v>
      </c>
      <c r="M20" s="86">
        <v>1000.0</v>
      </c>
      <c r="N20" s="86">
        <v>800.0</v>
      </c>
      <c r="O20" s="86">
        <v>1000.0</v>
      </c>
      <c r="P20" s="24">
        <f t="shared" si="1"/>
        <v>12300</v>
      </c>
    </row>
    <row r="21" ht="30.0" customHeight="1">
      <c r="A21" s="26">
        <v>45008.0</v>
      </c>
      <c r="B21" s="24"/>
      <c r="C21" s="86">
        <v>1000.0</v>
      </c>
      <c r="D21" s="86">
        <v>1000.0</v>
      </c>
      <c r="E21" s="86">
        <v>800.0</v>
      </c>
      <c r="F21" s="89">
        <v>1100.0</v>
      </c>
      <c r="G21" s="86">
        <v>1000.0</v>
      </c>
      <c r="H21" s="86">
        <v>1000.0</v>
      </c>
      <c r="I21" s="86">
        <v>800.0</v>
      </c>
      <c r="J21" s="86">
        <v>1000.0</v>
      </c>
      <c r="K21" s="86">
        <v>1000.0</v>
      </c>
      <c r="L21" s="86">
        <v>800.0</v>
      </c>
      <c r="M21" s="86">
        <v>1000.0</v>
      </c>
      <c r="N21" s="86">
        <v>800.0</v>
      </c>
      <c r="O21" s="86">
        <v>1000.0</v>
      </c>
      <c r="P21" s="24">
        <f t="shared" si="1"/>
        <v>12300</v>
      </c>
    </row>
    <row r="22" ht="30.0" customHeight="1">
      <c r="A22" s="26">
        <v>45039.0</v>
      </c>
      <c r="B22" s="24"/>
      <c r="C22" s="86">
        <v>1000.0</v>
      </c>
      <c r="D22" s="86">
        <v>1000.0</v>
      </c>
      <c r="E22" s="86">
        <v>800.0</v>
      </c>
      <c r="F22" s="89">
        <v>1100.0</v>
      </c>
      <c r="G22" s="86"/>
      <c r="H22" s="86">
        <v>1000.0</v>
      </c>
      <c r="I22" s="86">
        <v>800.0</v>
      </c>
      <c r="J22" s="86">
        <v>1000.0</v>
      </c>
      <c r="K22" s="86">
        <v>1000.0</v>
      </c>
      <c r="L22" s="86">
        <v>800.0</v>
      </c>
      <c r="M22" s="86">
        <v>1000.0</v>
      </c>
      <c r="N22" s="86">
        <v>800.0</v>
      </c>
      <c r="O22" s="86">
        <v>1000.0</v>
      </c>
      <c r="P22" s="24">
        <f t="shared" si="1"/>
        <v>11300</v>
      </c>
    </row>
    <row r="23" ht="30.0" customHeight="1">
      <c r="A23" s="90">
        <v>45069.0</v>
      </c>
      <c r="B23" s="24"/>
      <c r="C23" s="86">
        <v>1000.0</v>
      </c>
      <c r="D23" s="86">
        <v>1000.0</v>
      </c>
      <c r="E23" s="86">
        <v>800.0</v>
      </c>
      <c r="F23" s="89">
        <v>1100.0</v>
      </c>
      <c r="G23" s="86"/>
      <c r="H23" s="86">
        <v>1000.0</v>
      </c>
      <c r="I23" s="86">
        <v>800.0</v>
      </c>
      <c r="J23" s="86">
        <v>1000.0</v>
      </c>
      <c r="K23" s="86">
        <v>1000.0</v>
      </c>
      <c r="L23" s="86">
        <v>800.0</v>
      </c>
      <c r="M23" s="86">
        <v>1000.0</v>
      </c>
      <c r="N23" s="86">
        <v>800.0</v>
      </c>
      <c r="O23" s="86">
        <v>1000.0</v>
      </c>
      <c r="P23" s="24">
        <f t="shared" si="1"/>
        <v>11300</v>
      </c>
    </row>
    <row r="24" ht="30.0" customHeight="1">
      <c r="A24" s="26">
        <v>45100.0</v>
      </c>
      <c r="B24" s="24"/>
      <c r="C24" s="86">
        <v>1000.0</v>
      </c>
      <c r="D24" s="86">
        <v>1000.0</v>
      </c>
      <c r="E24" s="86">
        <v>800.0</v>
      </c>
      <c r="F24" s="89">
        <v>1100.0</v>
      </c>
      <c r="G24" s="86"/>
      <c r="H24" s="86">
        <v>1000.0</v>
      </c>
      <c r="I24" s="86">
        <v>800.0</v>
      </c>
      <c r="J24" s="86">
        <v>1000.0</v>
      </c>
      <c r="K24" s="86">
        <v>1000.0</v>
      </c>
      <c r="L24" s="86">
        <v>800.0</v>
      </c>
      <c r="M24" s="86">
        <v>1000.0</v>
      </c>
      <c r="N24" s="86">
        <v>800.0</v>
      </c>
      <c r="O24" s="86">
        <v>1000.0</v>
      </c>
      <c r="P24" s="24">
        <f t="shared" si="1"/>
        <v>11300</v>
      </c>
    </row>
    <row r="25" ht="30.0" customHeight="1">
      <c r="A25" s="26">
        <v>45130.0</v>
      </c>
      <c r="B25" s="24"/>
      <c r="C25" s="86">
        <v>1000.0</v>
      </c>
      <c r="D25" s="86">
        <v>1000.0</v>
      </c>
      <c r="E25" s="86">
        <v>800.0</v>
      </c>
      <c r="F25" s="89">
        <v>1100.0</v>
      </c>
      <c r="G25" s="86"/>
      <c r="H25" s="86">
        <v>1000.0</v>
      </c>
      <c r="I25" s="86">
        <v>800.0</v>
      </c>
      <c r="J25" s="86">
        <v>1000.0</v>
      </c>
      <c r="K25" s="86">
        <v>1000.0</v>
      </c>
      <c r="L25" s="86">
        <v>800.0</v>
      </c>
      <c r="M25" s="86">
        <v>1000.0</v>
      </c>
      <c r="N25" s="86">
        <v>800.0</v>
      </c>
      <c r="O25" s="86">
        <v>1000.0</v>
      </c>
      <c r="P25" s="24">
        <f t="shared" si="1"/>
        <v>11300</v>
      </c>
    </row>
    <row r="26" ht="30.0" customHeight="1">
      <c r="A26" s="26">
        <v>45161.0</v>
      </c>
      <c r="B26" s="24"/>
      <c r="C26" s="86">
        <v>1000.0</v>
      </c>
      <c r="D26" s="86">
        <v>1000.0</v>
      </c>
      <c r="E26" s="86">
        <v>800.0</v>
      </c>
      <c r="F26" s="89">
        <v>1100.0</v>
      </c>
      <c r="G26" s="86"/>
      <c r="H26" s="86">
        <v>1000.0</v>
      </c>
      <c r="I26" s="86">
        <v>800.0</v>
      </c>
      <c r="J26" s="86">
        <v>1000.0</v>
      </c>
      <c r="K26" s="86">
        <v>1000.0</v>
      </c>
      <c r="L26" s="86">
        <v>800.0</v>
      </c>
      <c r="M26" s="86">
        <v>1000.0</v>
      </c>
      <c r="N26" s="86">
        <v>800.0</v>
      </c>
      <c r="O26" s="86">
        <v>1000.0</v>
      </c>
      <c r="P26" s="24">
        <f t="shared" si="1"/>
        <v>11300</v>
      </c>
    </row>
    <row r="27" ht="30.0" customHeight="1">
      <c r="A27" s="26">
        <v>45192.0</v>
      </c>
      <c r="B27" s="24"/>
      <c r="C27" s="86">
        <v>1000.0</v>
      </c>
      <c r="D27" s="86">
        <v>1000.0</v>
      </c>
      <c r="E27" s="86">
        <v>800.0</v>
      </c>
      <c r="F27" s="89">
        <v>1100.0</v>
      </c>
      <c r="G27" s="86"/>
      <c r="H27" s="86">
        <v>1000.0</v>
      </c>
      <c r="I27" s="86">
        <v>800.0</v>
      </c>
      <c r="J27" s="86">
        <v>1000.0</v>
      </c>
      <c r="K27" s="86">
        <v>1000.0</v>
      </c>
      <c r="L27" s="86">
        <v>800.0</v>
      </c>
      <c r="M27" s="86">
        <v>1000.0</v>
      </c>
      <c r="N27" s="86">
        <v>800.0</v>
      </c>
      <c r="O27" s="86">
        <v>1000.0</v>
      </c>
      <c r="P27" s="24">
        <f t="shared" si="1"/>
        <v>11300</v>
      </c>
    </row>
    <row r="28" ht="30.0" customHeight="1">
      <c r="A28" s="26">
        <v>45222.0</v>
      </c>
      <c r="B28" s="24"/>
      <c r="C28" s="86">
        <v>1000.0</v>
      </c>
      <c r="D28" s="86">
        <v>1000.0</v>
      </c>
      <c r="E28" s="86">
        <v>800.0</v>
      </c>
      <c r="F28" s="89">
        <v>1100.0</v>
      </c>
      <c r="G28" s="86"/>
      <c r="H28" s="86">
        <v>1000.0</v>
      </c>
      <c r="I28" s="86">
        <v>800.0</v>
      </c>
      <c r="J28" s="86">
        <v>1000.0</v>
      </c>
      <c r="K28" s="86">
        <v>1000.0</v>
      </c>
      <c r="L28" s="86">
        <v>800.0</v>
      </c>
      <c r="M28" s="86">
        <v>1000.0</v>
      </c>
      <c r="N28" s="86">
        <v>800.0</v>
      </c>
      <c r="O28" s="86">
        <v>1000.0</v>
      </c>
      <c r="P28" s="24">
        <f t="shared" si="1"/>
        <v>11300</v>
      </c>
    </row>
    <row r="29" ht="30.0" customHeight="1">
      <c r="A29" s="26">
        <v>45253.0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>
        <f t="shared" si="1"/>
        <v>0</v>
      </c>
    </row>
    <row r="30" ht="30.0" customHeight="1">
      <c r="A30" s="26">
        <v>45283.0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>
        <f t="shared" si="1"/>
        <v>0</v>
      </c>
    </row>
    <row r="31" ht="30.0" customHeight="1">
      <c r="A31" s="26">
        <v>45292.0</v>
      </c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</row>
    <row r="32" ht="30.0" customHeight="1">
      <c r="A32" s="26">
        <v>45323.0</v>
      </c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</row>
    <row r="33" ht="30.0" customHeight="1">
      <c r="A33" s="26">
        <v>45352.0</v>
      </c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</row>
    <row r="34" ht="30.0" customHeight="1">
      <c r="A34" s="26">
        <v>45383.0</v>
      </c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</row>
    <row r="35" ht="30.0" customHeight="1">
      <c r="A35" s="26">
        <v>45413.0</v>
      </c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</row>
    <row r="36" ht="30.0" customHeight="1">
      <c r="A36" s="26">
        <v>45444.0</v>
      </c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</row>
    <row r="37" ht="30.0" customHeight="1">
      <c r="A37" s="26">
        <v>45474.0</v>
      </c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</row>
    <row r="38" ht="30.0" customHeight="1">
      <c r="A38" s="26">
        <v>45505.0</v>
      </c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</row>
    <row r="39" ht="30.0" customHeight="1">
      <c r="A39" s="26">
        <v>45536.0</v>
      </c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</row>
    <row r="40" ht="30.0" customHeight="1">
      <c r="A40" s="26">
        <v>45566.0</v>
      </c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</row>
    <row r="41" ht="30.0" customHeight="1">
      <c r="A41" s="26">
        <v>45597.0</v>
      </c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</row>
    <row r="42" ht="30.0" customHeight="1">
      <c r="A42" s="26">
        <v>45627.0</v>
      </c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</row>
    <row r="43" ht="30.0" customHeight="1">
      <c r="A43" s="26">
        <v>45658.0</v>
      </c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</row>
    <row r="44" ht="30.0" customHeight="1">
      <c r="A44" s="26">
        <v>45689.0</v>
      </c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</row>
    <row r="45" ht="30.0" customHeight="1">
      <c r="A45" s="26">
        <v>45717.0</v>
      </c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</row>
    <row r="46" ht="30.0" customHeight="1">
      <c r="A46" s="26">
        <v>45748.0</v>
      </c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</row>
    <row r="47" ht="30.0" customHeight="1">
      <c r="A47" s="26">
        <v>45778.0</v>
      </c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</row>
    <row r="48" ht="30.0" customHeight="1">
      <c r="A48" s="26">
        <v>45809.0</v>
      </c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</row>
    <row r="49" ht="30.0" customHeight="1">
      <c r="A49" s="26">
        <v>45839.0</v>
      </c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</row>
    <row r="50" ht="30.0" customHeight="1">
      <c r="A50" s="26">
        <v>45870.0</v>
      </c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</row>
    <row r="51" ht="30.0" customHeight="1">
      <c r="A51" s="26">
        <v>45901.0</v>
      </c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</row>
    <row r="52" ht="30.0" customHeight="1">
      <c r="A52" s="26">
        <v>45931.0</v>
      </c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</row>
    <row r="53" ht="30.0" customHeight="1">
      <c r="A53" s="26">
        <v>45962.0</v>
      </c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</row>
    <row r="54" ht="30.0" customHeight="1">
      <c r="A54" s="26">
        <v>45992.0</v>
      </c>
      <c r="B54" s="24"/>
      <c r="C54" s="24"/>
      <c r="D54" s="24"/>
      <c r="E54" s="24"/>
      <c r="F54" s="91">
        <v>1100.0</v>
      </c>
      <c r="G54" s="24"/>
      <c r="H54" s="24"/>
      <c r="I54" s="24"/>
      <c r="J54" s="24"/>
      <c r="K54" s="24"/>
      <c r="L54" s="24"/>
      <c r="M54" s="24"/>
      <c r="N54" s="24"/>
      <c r="O54" s="24"/>
      <c r="P54" s="24"/>
    </row>
    <row r="55" ht="30.0" customHeight="1">
      <c r="A55" s="26">
        <v>46023.0</v>
      </c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</row>
    <row r="56" ht="30.0" customHeight="1">
      <c r="A56" s="26">
        <v>46054.0</v>
      </c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</row>
    <row r="57" ht="30.0" customHeight="1">
      <c r="A57" s="26">
        <v>46082.0</v>
      </c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</row>
    <row r="58" ht="30.0" customHeight="1">
      <c r="A58" s="26">
        <v>46113.0</v>
      </c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</row>
    <row r="59" ht="30.0" customHeight="1">
      <c r="A59" s="26">
        <v>46143.0</v>
      </c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</row>
    <row r="60" ht="30.0" customHeight="1">
      <c r="A60" s="26">
        <v>46174.0</v>
      </c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</row>
    <row r="61" ht="30.0" customHeight="1">
      <c r="A61" s="26">
        <v>46204.0</v>
      </c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</row>
    <row r="62" ht="30.0" customHeight="1">
      <c r="A62" s="26">
        <v>46235.0</v>
      </c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</row>
    <row r="63" ht="30.0" customHeight="1">
      <c r="A63" s="26">
        <v>46266.0</v>
      </c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</row>
    <row r="64" ht="30.0" customHeight="1">
      <c r="A64" s="26">
        <v>46296.0</v>
      </c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</row>
    <row r="65" ht="30.0" customHeight="1">
      <c r="A65" s="26">
        <v>46327.0</v>
      </c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</row>
    <row r="66" ht="30.0" customHeight="1">
      <c r="A66" s="26">
        <v>46357.0</v>
      </c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</row>
    <row r="67" ht="30.0" customHeight="1">
      <c r="A67" s="27" t="s">
        <v>9</v>
      </c>
      <c r="B67" s="24">
        <f t="shared" ref="B67:P67" si="2">SUM(B5:B66)</f>
        <v>3100</v>
      </c>
      <c r="C67" s="24">
        <f t="shared" si="2"/>
        <v>16100</v>
      </c>
      <c r="D67" s="24">
        <f t="shared" si="2"/>
        <v>15000</v>
      </c>
      <c r="E67" s="24">
        <f t="shared" si="2"/>
        <v>12800</v>
      </c>
      <c r="F67" s="24">
        <f t="shared" si="2"/>
        <v>17600</v>
      </c>
      <c r="G67" s="24">
        <f t="shared" si="2"/>
        <v>8570</v>
      </c>
      <c r="H67" s="24">
        <f t="shared" si="2"/>
        <v>16120</v>
      </c>
      <c r="I67" s="24">
        <f t="shared" si="2"/>
        <v>12800</v>
      </c>
      <c r="J67" s="24">
        <f t="shared" si="2"/>
        <v>15570</v>
      </c>
      <c r="K67" s="24">
        <f t="shared" si="2"/>
        <v>16100</v>
      </c>
      <c r="L67" s="24">
        <f t="shared" si="2"/>
        <v>12000</v>
      </c>
      <c r="M67" s="24">
        <f t="shared" si="2"/>
        <v>15000</v>
      </c>
      <c r="N67" s="24">
        <f t="shared" si="2"/>
        <v>12800</v>
      </c>
      <c r="O67" s="24">
        <f t="shared" si="2"/>
        <v>15000</v>
      </c>
      <c r="P67" s="24">
        <f t="shared" si="2"/>
        <v>187460</v>
      </c>
    </row>
    <row r="68" ht="30.0" customHeight="1">
      <c r="A68" s="27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</row>
    <row r="69" ht="30.0" customHeight="1">
      <c r="A69" s="27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</row>
    <row r="70" ht="30.0" customHeight="1">
      <c r="A70" s="27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</row>
    <row r="71" ht="30.0" customHeight="1">
      <c r="A71" s="27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</row>
    <row r="72" ht="30.0" customHeight="1">
      <c r="A72" s="27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</row>
    <row r="73" ht="30.0" customHeight="1">
      <c r="A73" s="27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</row>
    <row r="74" ht="30.0" customHeight="1">
      <c r="A74" s="27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</row>
    <row r="75" ht="30.0" customHeight="1">
      <c r="A75" s="27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</row>
    <row r="76" ht="30.0" customHeight="1">
      <c r="A76" s="27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</row>
    <row r="77" ht="30.0" customHeight="1">
      <c r="A77" s="27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</row>
    <row r="78" ht="30.0" customHeight="1">
      <c r="A78" s="27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</row>
    <row r="79" ht="15.75" customHeight="1">
      <c r="A79" s="27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</row>
    <row r="80" ht="15.75" customHeight="1">
      <c r="A80" s="29"/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</sheetData>
  <printOptions/>
  <pageMargins bottom="0.75" footer="0.0" header="0.0" left="0.25" right="0.25" top="0.75"/>
  <pageSetup fitToHeight="0" paperSize="8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1.14"/>
    <col customWidth="1" min="3" max="3" width="56.29"/>
    <col customWidth="1" min="4" max="4" width="17.71"/>
    <col customWidth="1" min="5" max="26" width="8.71"/>
  </cols>
  <sheetData>
    <row r="2">
      <c r="B2" s="45" t="s">
        <v>107</v>
      </c>
      <c r="C2" s="45" t="s">
        <v>33</v>
      </c>
      <c r="D2" s="45" t="s">
        <v>34</v>
      </c>
    </row>
    <row r="3">
      <c r="B3" s="63">
        <v>1.0</v>
      </c>
      <c r="C3" s="63" t="s">
        <v>108</v>
      </c>
      <c r="D3" s="48">
        <v>7000.0</v>
      </c>
    </row>
    <row r="4">
      <c r="B4" s="63">
        <v>2.0</v>
      </c>
      <c r="C4" s="63" t="s">
        <v>109</v>
      </c>
      <c r="D4" s="48">
        <v>28000.0</v>
      </c>
    </row>
    <row r="5">
      <c r="B5" s="63">
        <v>3.0</v>
      </c>
      <c r="C5" s="63"/>
      <c r="D5" s="4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22.0"/>
    <col customWidth="1" min="2" max="8" width="17.71"/>
    <col customWidth="1" min="9" max="10" width="8.71"/>
    <col customWidth="1" min="11" max="11" width="21.71"/>
    <col customWidth="1" min="12" max="12" width="35.57"/>
    <col customWidth="1" min="13" max="13" width="15.29"/>
    <col customWidth="1" min="14" max="14" width="8.71"/>
    <col customWidth="1" min="15" max="15" width="15.57"/>
    <col customWidth="1" min="16" max="16" width="48.43"/>
    <col customWidth="1" min="17" max="17" width="17.57"/>
    <col customWidth="1" min="18" max="18" width="8.71"/>
  </cols>
  <sheetData>
    <row r="1">
      <c r="A1" s="4" t="s">
        <v>25</v>
      </c>
      <c r="B1" s="14"/>
      <c r="C1" s="14"/>
      <c r="D1" s="14"/>
      <c r="E1" s="14"/>
      <c r="F1" s="14"/>
      <c r="G1" s="14"/>
    </row>
    <row r="2">
      <c r="A2" s="16" t="s">
        <v>26</v>
      </c>
      <c r="B2" s="17"/>
      <c r="C2" s="17"/>
      <c r="D2" s="17"/>
      <c r="E2" s="17"/>
      <c r="F2" s="17"/>
      <c r="G2" s="17"/>
    </row>
    <row r="3">
      <c r="A3" s="19" t="s">
        <v>27</v>
      </c>
      <c r="B3" s="20"/>
      <c r="C3" s="20"/>
      <c r="D3" s="20"/>
      <c r="E3" s="20"/>
      <c r="F3" s="20"/>
      <c r="G3" s="20"/>
      <c r="K3" s="92" t="s">
        <v>110</v>
      </c>
      <c r="O3" s="92" t="s">
        <v>111</v>
      </c>
    </row>
    <row r="4">
      <c r="A4" s="21" t="s">
        <v>28</v>
      </c>
      <c r="B4" s="85">
        <v>106.0</v>
      </c>
      <c r="C4" s="85">
        <v>107.0</v>
      </c>
      <c r="D4" s="85">
        <v>403.0</v>
      </c>
      <c r="E4" s="85">
        <v>404.0</v>
      </c>
      <c r="F4" s="85">
        <v>504.0</v>
      </c>
      <c r="G4" s="85">
        <v>507.0</v>
      </c>
      <c r="H4" s="22" t="s">
        <v>9</v>
      </c>
      <c r="K4" s="21" t="s">
        <v>57</v>
      </c>
      <c r="L4" s="21" t="s">
        <v>33</v>
      </c>
      <c r="M4" s="21" t="s">
        <v>34</v>
      </c>
      <c r="O4" s="21" t="s">
        <v>57</v>
      </c>
      <c r="P4" s="21" t="s">
        <v>33</v>
      </c>
      <c r="Q4" s="21" t="s">
        <v>34</v>
      </c>
    </row>
    <row r="5" ht="30.0" customHeight="1">
      <c r="A5" s="26">
        <v>45017.0</v>
      </c>
      <c r="B5" s="86"/>
      <c r="C5" s="24"/>
      <c r="D5" s="86"/>
      <c r="E5" s="86">
        <v>1000.0</v>
      </c>
      <c r="F5" s="24"/>
      <c r="G5" s="24"/>
      <c r="H5" s="24">
        <f t="shared" ref="H5:H41" si="1">SUM(B5:G5)</f>
        <v>1000</v>
      </c>
      <c r="K5" s="87"/>
      <c r="L5" s="88"/>
      <c r="M5" s="24"/>
      <c r="O5" s="87">
        <v>45606.0</v>
      </c>
      <c r="P5" s="88" t="s">
        <v>112</v>
      </c>
      <c r="Q5" s="24">
        <v>96225.0</v>
      </c>
    </row>
    <row r="6" ht="30.0" customHeight="1">
      <c r="A6" s="26">
        <v>45047.0</v>
      </c>
      <c r="B6" s="86">
        <v>1000.0</v>
      </c>
      <c r="C6" s="86">
        <v>1000.0</v>
      </c>
      <c r="D6" s="86">
        <v>1000.0</v>
      </c>
      <c r="E6" s="86">
        <v>1000.0</v>
      </c>
      <c r="F6" s="25"/>
      <c r="G6" s="24"/>
      <c r="H6" s="24">
        <f t="shared" si="1"/>
        <v>4000</v>
      </c>
      <c r="K6" s="87"/>
      <c r="L6" s="88"/>
      <c r="M6" s="86"/>
      <c r="O6" s="87">
        <v>46082.0</v>
      </c>
      <c r="P6" s="88" t="s">
        <v>113</v>
      </c>
      <c r="Q6" s="86">
        <v>20000.0</v>
      </c>
    </row>
    <row r="7" ht="30.0" customHeight="1">
      <c r="A7" s="26">
        <v>45078.0</v>
      </c>
      <c r="B7" s="86">
        <v>1000.0</v>
      </c>
      <c r="C7" s="86">
        <v>1000.0</v>
      </c>
      <c r="D7" s="86">
        <v>1000.0</v>
      </c>
      <c r="E7" s="86">
        <v>1000.0</v>
      </c>
      <c r="F7" s="89">
        <v>1000.0</v>
      </c>
      <c r="G7" s="86">
        <v>1000.0</v>
      </c>
      <c r="H7" s="24">
        <f t="shared" si="1"/>
        <v>6000</v>
      </c>
      <c r="K7" s="87"/>
      <c r="L7" s="88"/>
      <c r="M7" s="86"/>
      <c r="O7" s="87">
        <v>46082.0</v>
      </c>
      <c r="P7" s="88" t="s">
        <v>114</v>
      </c>
      <c r="Q7" s="86">
        <v>80000.0</v>
      </c>
    </row>
    <row r="8" ht="30.0" customHeight="1">
      <c r="A8" s="26">
        <v>45108.0</v>
      </c>
      <c r="B8" s="86">
        <v>1000.0</v>
      </c>
      <c r="C8" s="86">
        <v>1000.0</v>
      </c>
      <c r="D8" s="86">
        <v>1000.0</v>
      </c>
      <c r="E8" s="86">
        <v>1000.0</v>
      </c>
      <c r="F8" s="89">
        <v>1000.0</v>
      </c>
      <c r="G8" s="86">
        <v>1000.0</v>
      </c>
      <c r="H8" s="24">
        <f t="shared" si="1"/>
        <v>6000</v>
      </c>
      <c r="K8" s="62">
        <v>44658.0</v>
      </c>
      <c r="L8" s="63" t="s">
        <v>58</v>
      </c>
      <c r="M8" s="48">
        <v>12630.0</v>
      </c>
      <c r="O8" s="87">
        <v>46142.0</v>
      </c>
      <c r="P8" s="88" t="s">
        <v>115</v>
      </c>
      <c r="Q8" s="86">
        <v>13500.0</v>
      </c>
    </row>
    <row r="9" ht="30.0" customHeight="1">
      <c r="A9" s="93">
        <v>45139.0</v>
      </c>
      <c r="B9" s="86">
        <v>1000.0</v>
      </c>
      <c r="C9" s="86">
        <v>1000.0</v>
      </c>
      <c r="D9" s="86">
        <v>1000.0</v>
      </c>
      <c r="E9" s="86">
        <v>1000.0</v>
      </c>
      <c r="F9" s="89">
        <v>1000.0</v>
      </c>
      <c r="G9" s="86">
        <v>1000.0</v>
      </c>
      <c r="H9" s="24">
        <f t="shared" si="1"/>
        <v>6000</v>
      </c>
      <c r="O9" s="87">
        <v>46142.0</v>
      </c>
      <c r="P9" s="88" t="s">
        <v>116</v>
      </c>
      <c r="Q9" s="86">
        <v>1000.0</v>
      </c>
    </row>
    <row r="10" ht="30.0" customHeight="1">
      <c r="A10" s="26">
        <v>45170.0</v>
      </c>
      <c r="B10" s="86">
        <v>1000.0</v>
      </c>
      <c r="C10" s="86">
        <v>1000.0</v>
      </c>
      <c r="D10" s="86">
        <v>1000.0</v>
      </c>
      <c r="E10" s="86">
        <v>1000.0</v>
      </c>
      <c r="F10" s="89">
        <v>1000.0</v>
      </c>
      <c r="G10" s="86">
        <v>1000.0</v>
      </c>
      <c r="H10" s="24">
        <f t="shared" si="1"/>
        <v>6000</v>
      </c>
      <c r="O10" s="87">
        <v>46142.0</v>
      </c>
      <c r="P10" s="88" t="s">
        <v>117</v>
      </c>
      <c r="Q10" s="86">
        <v>2500.0</v>
      </c>
    </row>
    <row r="11" ht="30.0" customHeight="1">
      <c r="A11" s="26">
        <v>45200.0</v>
      </c>
      <c r="B11" s="86">
        <v>1000.0</v>
      </c>
      <c r="C11" s="86">
        <v>1000.0</v>
      </c>
      <c r="D11" s="86">
        <v>1000.0</v>
      </c>
      <c r="E11" s="86">
        <v>1000.0</v>
      </c>
      <c r="F11" s="89">
        <v>1000.0</v>
      </c>
      <c r="G11" s="86">
        <v>1000.0</v>
      </c>
      <c r="H11" s="24">
        <f t="shared" si="1"/>
        <v>6000</v>
      </c>
      <c r="O11" s="87"/>
      <c r="P11" s="88"/>
      <c r="Q11" s="86"/>
    </row>
    <row r="12" ht="30.0" customHeight="1">
      <c r="A12" s="26">
        <v>45231.0</v>
      </c>
      <c r="B12" s="86">
        <v>1000.0</v>
      </c>
      <c r="C12" s="86">
        <v>1000.0</v>
      </c>
      <c r="D12" s="86">
        <v>1000.0</v>
      </c>
      <c r="E12" s="86">
        <v>1000.0</v>
      </c>
      <c r="F12" s="89">
        <v>1000.0</v>
      </c>
      <c r="G12" s="86">
        <v>1000.0</v>
      </c>
      <c r="H12" s="24">
        <f t="shared" si="1"/>
        <v>6000</v>
      </c>
      <c r="O12" s="87"/>
      <c r="P12" s="88"/>
      <c r="Q12" s="86"/>
    </row>
    <row r="13" ht="30.0" customHeight="1">
      <c r="A13" s="26">
        <v>45261.0</v>
      </c>
      <c r="B13" s="86">
        <v>1000.0</v>
      </c>
      <c r="C13" s="86">
        <v>1000.0</v>
      </c>
      <c r="D13" s="86">
        <v>1000.0</v>
      </c>
      <c r="E13" s="86">
        <v>1000.0</v>
      </c>
      <c r="F13" s="89">
        <v>1000.0</v>
      </c>
      <c r="G13" s="86">
        <v>1000.0</v>
      </c>
      <c r="H13" s="24">
        <f t="shared" si="1"/>
        <v>6000</v>
      </c>
      <c r="O13" s="87"/>
      <c r="P13" s="88"/>
      <c r="Q13" s="86"/>
    </row>
    <row r="14" ht="30.0" customHeight="1">
      <c r="A14" s="26">
        <v>45292.0</v>
      </c>
      <c r="B14" s="86">
        <v>1000.0</v>
      </c>
      <c r="C14" s="86">
        <v>1000.0</v>
      </c>
      <c r="D14" s="86">
        <v>1000.0</v>
      </c>
      <c r="E14" s="86">
        <v>1000.0</v>
      </c>
      <c r="F14" s="89">
        <v>1000.0</v>
      </c>
      <c r="G14" s="86">
        <v>1000.0</v>
      </c>
      <c r="H14" s="24">
        <f t="shared" si="1"/>
        <v>6000</v>
      </c>
    </row>
    <row r="15" ht="30.0" customHeight="1">
      <c r="A15" s="26">
        <v>45323.0</v>
      </c>
      <c r="B15" s="86">
        <v>1000.0</v>
      </c>
      <c r="C15" s="86">
        <v>1000.0</v>
      </c>
      <c r="D15" s="86">
        <v>1000.0</v>
      </c>
      <c r="E15" s="86">
        <v>1000.0</v>
      </c>
      <c r="F15" s="89">
        <v>1000.0</v>
      </c>
      <c r="G15" s="86">
        <v>1000.0</v>
      </c>
      <c r="H15" s="24">
        <f t="shared" si="1"/>
        <v>6000</v>
      </c>
    </row>
    <row r="16" ht="30.0" customHeight="1">
      <c r="A16" s="26">
        <v>45352.0</v>
      </c>
      <c r="B16" s="86">
        <v>1000.0</v>
      </c>
      <c r="C16" s="86">
        <v>1000.0</v>
      </c>
      <c r="D16" s="86">
        <v>1000.0</v>
      </c>
      <c r="E16" s="86">
        <v>1000.0</v>
      </c>
      <c r="F16" s="89">
        <v>1000.0</v>
      </c>
      <c r="G16" s="86">
        <v>1000.0</v>
      </c>
      <c r="H16" s="24">
        <f t="shared" si="1"/>
        <v>6000</v>
      </c>
    </row>
    <row r="17" ht="30.0" customHeight="1">
      <c r="A17" s="26">
        <v>45383.0</v>
      </c>
      <c r="B17" s="86">
        <v>1000.0</v>
      </c>
      <c r="C17" s="86">
        <v>1000.0</v>
      </c>
      <c r="D17" s="86">
        <v>1000.0</v>
      </c>
      <c r="E17" s="86">
        <v>1000.0</v>
      </c>
      <c r="F17" s="89">
        <v>1000.0</v>
      </c>
      <c r="G17" s="86">
        <v>1000.0</v>
      </c>
      <c r="H17" s="24">
        <f t="shared" si="1"/>
        <v>6000</v>
      </c>
    </row>
    <row r="18" ht="30.0" customHeight="1">
      <c r="A18" s="26">
        <v>45413.0</v>
      </c>
      <c r="B18" s="86">
        <v>1000.0</v>
      </c>
      <c r="C18" s="86">
        <v>1000.0</v>
      </c>
      <c r="D18" s="86">
        <v>1000.0</v>
      </c>
      <c r="E18" s="86">
        <v>1000.0</v>
      </c>
      <c r="F18" s="89">
        <v>1000.0</v>
      </c>
      <c r="G18" s="86">
        <v>1000.0</v>
      </c>
      <c r="H18" s="24">
        <f t="shared" si="1"/>
        <v>6000</v>
      </c>
    </row>
    <row r="19" ht="30.0" customHeight="1">
      <c r="A19" s="26">
        <v>45444.0</v>
      </c>
      <c r="B19" s="86">
        <v>1000.0</v>
      </c>
      <c r="C19" s="86">
        <v>1000.0</v>
      </c>
      <c r="D19" s="86">
        <v>1000.0</v>
      </c>
      <c r="E19" s="86">
        <v>1000.0</v>
      </c>
      <c r="F19" s="89">
        <v>1000.0</v>
      </c>
      <c r="G19" s="86">
        <v>1000.0</v>
      </c>
      <c r="H19" s="24">
        <f t="shared" si="1"/>
        <v>6000</v>
      </c>
    </row>
    <row r="20" ht="30.0" customHeight="1">
      <c r="A20" s="26">
        <v>45474.0</v>
      </c>
      <c r="B20" s="86">
        <v>1000.0</v>
      </c>
      <c r="C20" s="86">
        <v>1000.0</v>
      </c>
      <c r="D20" s="86">
        <v>1000.0</v>
      </c>
      <c r="E20" s="86">
        <v>1000.0</v>
      </c>
      <c r="F20" s="89">
        <v>1000.0</v>
      </c>
      <c r="G20" s="86">
        <v>1000.0</v>
      </c>
      <c r="H20" s="24">
        <f t="shared" si="1"/>
        <v>6000</v>
      </c>
    </row>
    <row r="21" ht="30.0" customHeight="1">
      <c r="A21" s="26">
        <v>45505.0</v>
      </c>
      <c r="B21" s="86">
        <v>1000.0</v>
      </c>
      <c r="C21" s="86">
        <v>1000.0</v>
      </c>
      <c r="D21" s="86">
        <v>1000.0</v>
      </c>
      <c r="E21" s="86">
        <v>1000.0</v>
      </c>
      <c r="F21" s="89">
        <v>1000.0</v>
      </c>
      <c r="G21" s="86">
        <v>1000.0</v>
      </c>
      <c r="H21" s="24">
        <f t="shared" si="1"/>
        <v>6000</v>
      </c>
    </row>
    <row r="22" ht="30.0" customHeight="1">
      <c r="A22" s="26">
        <v>45536.0</v>
      </c>
      <c r="B22" s="86">
        <v>1000.0</v>
      </c>
      <c r="C22" s="86">
        <v>1000.0</v>
      </c>
      <c r="D22" s="86">
        <v>1000.0</v>
      </c>
      <c r="E22" s="86">
        <v>1000.0</v>
      </c>
      <c r="F22" s="89">
        <v>1000.0</v>
      </c>
      <c r="G22" s="86">
        <v>1000.0</v>
      </c>
      <c r="H22" s="24">
        <f t="shared" si="1"/>
        <v>6000</v>
      </c>
    </row>
    <row r="23" ht="30.0" customHeight="1">
      <c r="A23" s="26">
        <v>45566.0</v>
      </c>
      <c r="B23" s="86">
        <v>1000.0</v>
      </c>
      <c r="C23" s="86">
        <v>1000.0</v>
      </c>
      <c r="D23" s="86">
        <v>1000.0</v>
      </c>
      <c r="E23" s="86">
        <v>1000.0</v>
      </c>
      <c r="F23" s="89">
        <v>1000.0</v>
      </c>
      <c r="G23" s="86">
        <v>1000.0</v>
      </c>
      <c r="H23" s="24">
        <f t="shared" si="1"/>
        <v>6000</v>
      </c>
    </row>
    <row r="24" ht="30.0" customHeight="1">
      <c r="A24" s="26">
        <v>45597.0</v>
      </c>
      <c r="B24" s="86">
        <v>1000.0</v>
      </c>
      <c r="C24" s="86">
        <v>1000.0</v>
      </c>
      <c r="D24" s="86">
        <v>1000.0</v>
      </c>
      <c r="E24" s="86">
        <v>1000.0</v>
      </c>
      <c r="F24" s="89">
        <v>1000.0</v>
      </c>
      <c r="G24" s="86">
        <v>1000.0</v>
      </c>
      <c r="H24" s="24">
        <f t="shared" si="1"/>
        <v>6000</v>
      </c>
    </row>
    <row r="25" ht="30.0" customHeight="1">
      <c r="A25" s="26">
        <v>45627.0</v>
      </c>
      <c r="B25" s="86">
        <v>1000.0</v>
      </c>
      <c r="C25" s="86">
        <v>1000.0</v>
      </c>
      <c r="D25" s="86">
        <v>1000.0</v>
      </c>
      <c r="E25" s="86">
        <v>1000.0</v>
      </c>
      <c r="F25" s="89">
        <v>1000.0</v>
      </c>
      <c r="G25" s="86">
        <v>1000.0</v>
      </c>
      <c r="H25" s="24">
        <f t="shared" si="1"/>
        <v>6000</v>
      </c>
    </row>
    <row r="26" ht="30.0" customHeight="1">
      <c r="A26" s="26">
        <v>45658.0</v>
      </c>
      <c r="B26" s="86">
        <v>1000.0</v>
      </c>
      <c r="C26" s="86">
        <v>1000.0</v>
      </c>
      <c r="D26" s="86">
        <v>1000.0</v>
      </c>
      <c r="E26" s="86">
        <v>1000.0</v>
      </c>
      <c r="F26" s="89">
        <v>1000.0</v>
      </c>
      <c r="G26" s="86">
        <v>1000.0</v>
      </c>
      <c r="H26" s="24">
        <f t="shared" si="1"/>
        <v>6000</v>
      </c>
    </row>
    <row r="27" ht="30.0" customHeight="1">
      <c r="A27" s="26">
        <v>45689.0</v>
      </c>
      <c r="B27" s="86">
        <v>1000.0</v>
      </c>
      <c r="C27" s="86">
        <v>1000.0</v>
      </c>
      <c r="D27" s="86">
        <v>1000.0</v>
      </c>
      <c r="E27" s="86">
        <v>1000.0</v>
      </c>
      <c r="F27" s="89">
        <v>1000.0</v>
      </c>
      <c r="G27" s="86">
        <v>1000.0</v>
      </c>
      <c r="H27" s="24">
        <f t="shared" si="1"/>
        <v>6000</v>
      </c>
    </row>
    <row r="28" ht="30.0" customHeight="1">
      <c r="A28" s="26">
        <v>45717.0</v>
      </c>
      <c r="B28" s="86">
        <v>1000.0</v>
      </c>
      <c r="C28" s="86">
        <v>1000.0</v>
      </c>
      <c r="D28" s="86">
        <v>1000.0</v>
      </c>
      <c r="E28" s="86">
        <v>1000.0</v>
      </c>
      <c r="F28" s="89">
        <v>1000.0</v>
      </c>
      <c r="G28" s="86">
        <v>1000.0</v>
      </c>
      <c r="H28" s="24">
        <f t="shared" si="1"/>
        <v>6000</v>
      </c>
    </row>
    <row r="29" ht="30.0" customHeight="1">
      <c r="A29" s="26">
        <v>45748.0</v>
      </c>
      <c r="B29" s="86">
        <v>1000.0</v>
      </c>
      <c r="C29" s="86">
        <v>1000.0</v>
      </c>
      <c r="D29" s="86">
        <v>1000.0</v>
      </c>
      <c r="E29" s="86">
        <v>1000.0</v>
      </c>
      <c r="F29" s="89">
        <v>1000.0</v>
      </c>
      <c r="G29" s="86">
        <v>1000.0</v>
      </c>
      <c r="H29" s="24">
        <f t="shared" si="1"/>
        <v>6000</v>
      </c>
    </row>
    <row r="30" ht="30.0" customHeight="1">
      <c r="A30" s="26">
        <v>45778.0</v>
      </c>
      <c r="B30" s="86">
        <v>1000.0</v>
      </c>
      <c r="C30" s="86">
        <v>1000.0</v>
      </c>
      <c r="D30" s="86">
        <v>1000.0</v>
      </c>
      <c r="E30" s="86">
        <v>1000.0</v>
      </c>
      <c r="F30" s="89">
        <v>1000.0</v>
      </c>
      <c r="G30" s="86">
        <v>1000.0</v>
      </c>
      <c r="H30" s="24">
        <f t="shared" si="1"/>
        <v>6000</v>
      </c>
    </row>
    <row r="31" ht="30.0" customHeight="1">
      <c r="A31" s="26">
        <v>45809.0</v>
      </c>
      <c r="B31" s="86">
        <v>1000.0</v>
      </c>
      <c r="C31" s="86">
        <v>1000.0</v>
      </c>
      <c r="D31" s="86">
        <v>1000.0</v>
      </c>
      <c r="E31" s="86">
        <v>1000.0</v>
      </c>
      <c r="F31" s="89">
        <v>1000.0</v>
      </c>
      <c r="G31" s="86">
        <v>1000.0</v>
      </c>
      <c r="H31" s="24">
        <f t="shared" si="1"/>
        <v>6000</v>
      </c>
    </row>
    <row r="32" ht="30.0" customHeight="1">
      <c r="A32" s="26">
        <v>45839.0</v>
      </c>
      <c r="B32" s="86">
        <v>1000.0</v>
      </c>
      <c r="C32" s="86">
        <v>1000.0</v>
      </c>
      <c r="D32" s="86">
        <v>1000.0</v>
      </c>
      <c r="E32" s="86">
        <v>1000.0</v>
      </c>
      <c r="F32" s="89">
        <v>1000.0</v>
      </c>
      <c r="G32" s="86">
        <v>1000.0</v>
      </c>
      <c r="H32" s="24">
        <f t="shared" si="1"/>
        <v>6000</v>
      </c>
    </row>
    <row r="33" ht="30.0" customHeight="1">
      <c r="A33" s="26">
        <v>45870.0</v>
      </c>
      <c r="B33" s="86">
        <v>1000.0</v>
      </c>
      <c r="C33" s="86">
        <v>1000.0</v>
      </c>
      <c r="D33" s="86">
        <v>1000.0</v>
      </c>
      <c r="E33" s="86">
        <v>1000.0</v>
      </c>
      <c r="F33" s="89">
        <v>1000.0</v>
      </c>
      <c r="G33" s="86">
        <v>1000.0</v>
      </c>
      <c r="H33" s="24">
        <f t="shared" si="1"/>
        <v>6000</v>
      </c>
    </row>
    <row r="34" ht="30.0" customHeight="1">
      <c r="A34" s="26">
        <v>45901.0</v>
      </c>
      <c r="B34" s="86">
        <v>1000.0</v>
      </c>
      <c r="C34" s="86">
        <v>1000.0</v>
      </c>
      <c r="D34" s="86">
        <v>1000.0</v>
      </c>
      <c r="E34" s="86">
        <v>1000.0</v>
      </c>
      <c r="F34" s="89">
        <v>1000.0</v>
      </c>
      <c r="G34" s="86">
        <v>1000.0</v>
      </c>
      <c r="H34" s="24">
        <f t="shared" si="1"/>
        <v>6000</v>
      </c>
    </row>
    <row r="35" ht="30.0" customHeight="1">
      <c r="A35" s="26">
        <v>45931.0</v>
      </c>
      <c r="B35" s="86">
        <v>1000.0</v>
      </c>
      <c r="C35" s="86">
        <v>1000.0</v>
      </c>
      <c r="D35" s="86">
        <v>1000.0</v>
      </c>
      <c r="E35" s="86">
        <v>1000.0</v>
      </c>
      <c r="F35" s="89">
        <v>1000.0</v>
      </c>
      <c r="G35" s="86">
        <v>1000.0</v>
      </c>
      <c r="H35" s="24">
        <f t="shared" si="1"/>
        <v>6000</v>
      </c>
    </row>
    <row r="36" ht="30.0" customHeight="1">
      <c r="A36" s="26">
        <v>45962.0</v>
      </c>
      <c r="B36" s="86">
        <v>1000.0</v>
      </c>
      <c r="C36" s="86">
        <v>1000.0</v>
      </c>
      <c r="D36" s="86">
        <v>1000.0</v>
      </c>
      <c r="E36" s="86">
        <v>1000.0</v>
      </c>
      <c r="F36" s="89">
        <v>1000.0</v>
      </c>
      <c r="G36" s="86">
        <v>1000.0</v>
      </c>
      <c r="H36" s="24">
        <f t="shared" si="1"/>
        <v>6000</v>
      </c>
    </row>
    <row r="37" ht="30.0" customHeight="1">
      <c r="A37" s="26">
        <v>45992.0</v>
      </c>
      <c r="B37" s="86">
        <v>1000.0</v>
      </c>
      <c r="C37" s="86">
        <v>1000.0</v>
      </c>
      <c r="D37" s="86">
        <v>1000.0</v>
      </c>
      <c r="E37" s="86">
        <v>1000.0</v>
      </c>
      <c r="F37" s="89">
        <v>1000.0</v>
      </c>
      <c r="G37" s="86">
        <v>1000.0</v>
      </c>
      <c r="H37" s="24">
        <f t="shared" si="1"/>
        <v>6000</v>
      </c>
    </row>
    <row r="38" ht="30.0" customHeight="1">
      <c r="A38" s="26">
        <v>46023.0</v>
      </c>
      <c r="B38" s="86">
        <v>1000.0</v>
      </c>
      <c r="C38" s="86">
        <v>1000.0</v>
      </c>
      <c r="D38" s="86">
        <v>1000.0</v>
      </c>
      <c r="E38" s="86">
        <v>1000.0</v>
      </c>
      <c r="F38" s="89">
        <v>1000.0</v>
      </c>
      <c r="G38" s="86">
        <v>1000.0</v>
      </c>
      <c r="H38" s="24">
        <f t="shared" si="1"/>
        <v>6000</v>
      </c>
    </row>
    <row r="39" ht="30.0" customHeight="1">
      <c r="A39" s="26">
        <v>46054.0</v>
      </c>
      <c r="B39" s="86">
        <v>1000.0</v>
      </c>
      <c r="C39" s="86">
        <v>1000.0</v>
      </c>
      <c r="D39" s="86">
        <v>1000.0</v>
      </c>
      <c r="E39" s="86">
        <v>1000.0</v>
      </c>
      <c r="F39" s="89">
        <v>1000.0</v>
      </c>
      <c r="G39" s="86">
        <v>1000.0</v>
      </c>
      <c r="H39" s="24">
        <f t="shared" si="1"/>
        <v>6000</v>
      </c>
    </row>
    <row r="40" ht="30.0" customHeight="1">
      <c r="A40" s="26">
        <v>46082.0</v>
      </c>
      <c r="B40" s="86">
        <v>1000.0</v>
      </c>
      <c r="C40" s="86">
        <v>1000.0</v>
      </c>
      <c r="D40" s="86">
        <v>1000.0</v>
      </c>
      <c r="E40" s="86">
        <v>1000.0</v>
      </c>
      <c r="F40" s="89">
        <v>1000.0</v>
      </c>
      <c r="G40" s="86">
        <v>1000.0</v>
      </c>
      <c r="H40" s="24">
        <f t="shared" si="1"/>
        <v>6000</v>
      </c>
    </row>
    <row r="41" ht="30.0" customHeight="1">
      <c r="A41" s="26">
        <v>46113.0</v>
      </c>
      <c r="B41" s="86">
        <v>1000.0</v>
      </c>
      <c r="C41" s="86">
        <v>1000.0</v>
      </c>
      <c r="D41" s="86">
        <v>1000.0</v>
      </c>
      <c r="E41" s="86">
        <v>1000.0</v>
      </c>
      <c r="F41" s="89">
        <v>1000.0</v>
      </c>
      <c r="G41" s="86">
        <v>1000.0</v>
      </c>
      <c r="H41" s="24">
        <f t="shared" si="1"/>
        <v>6000</v>
      </c>
    </row>
    <row r="42" ht="30.0" customHeight="1">
      <c r="A42" s="26">
        <v>46143.0</v>
      </c>
      <c r="B42" s="24"/>
      <c r="C42" s="24"/>
      <c r="D42" s="24"/>
      <c r="E42" s="24"/>
      <c r="F42" s="24"/>
      <c r="G42" s="24"/>
      <c r="H42" s="24"/>
    </row>
    <row r="43" ht="30.0" customHeight="1">
      <c r="A43" s="26">
        <v>46174.0</v>
      </c>
      <c r="B43" s="24"/>
      <c r="C43" s="24"/>
      <c r="D43" s="24"/>
      <c r="E43" s="24"/>
      <c r="F43" s="86">
        <v>1000.0</v>
      </c>
      <c r="G43" s="24"/>
      <c r="H43" s="24"/>
    </row>
    <row r="44" ht="30.0" customHeight="1">
      <c r="A44" s="26">
        <v>46204.0</v>
      </c>
      <c r="B44" s="24"/>
      <c r="C44" s="24"/>
      <c r="D44" s="24"/>
      <c r="E44" s="24"/>
      <c r="F44" s="24"/>
      <c r="G44" s="24"/>
      <c r="H44" s="24"/>
    </row>
    <row r="45" ht="30.0" customHeight="1">
      <c r="A45" s="26">
        <v>46235.0</v>
      </c>
      <c r="B45" s="24"/>
      <c r="C45" s="24"/>
      <c r="D45" s="24"/>
      <c r="E45" s="24"/>
      <c r="F45" s="24"/>
      <c r="G45" s="24"/>
      <c r="H45" s="24"/>
    </row>
    <row r="46" ht="30.0" customHeight="1">
      <c r="A46" s="26">
        <v>46266.0</v>
      </c>
      <c r="B46" s="24"/>
      <c r="C46" s="24"/>
      <c r="D46" s="24"/>
      <c r="E46" s="24"/>
      <c r="F46" s="24"/>
      <c r="G46" s="24"/>
      <c r="H46" s="24"/>
    </row>
    <row r="47" ht="30.0" customHeight="1">
      <c r="A47" s="26">
        <v>46296.0</v>
      </c>
      <c r="B47" s="24"/>
      <c r="C47" s="24"/>
      <c r="D47" s="24"/>
      <c r="E47" s="24"/>
      <c r="F47" s="24"/>
      <c r="G47" s="24"/>
      <c r="H47" s="24"/>
    </row>
    <row r="48" ht="30.0" customHeight="1">
      <c r="A48" s="26">
        <v>46327.0</v>
      </c>
      <c r="B48" s="24"/>
      <c r="C48" s="24"/>
      <c r="D48" s="24"/>
      <c r="E48" s="24"/>
      <c r="F48" s="24"/>
      <c r="G48" s="24"/>
      <c r="H48" s="24"/>
    </row>
    <row r="49" ht="30.0" customHeight="1">
      <c r="A49" s="26">
        <v>46357.0</v>
      </c>
      <c r="B49" s="24"/>
      <c r="C49" s="24"/>
      <c r="D49" s="24"/>
      <c r="E49" s="24"/>
      <c r="F49" s="24"/>
      <c r="G49" s="24"/>
      <c r="H49" s="24"/>
    </row>
    <row r="50" ht="30.0" customHeight="1">
      <c r="A50" s="27" t="s">
        <v>9</v>
      </c>
      <c r="B50" s="24">
        <f t="shared" ref="B50:H50" si="2">SUM(B5:B49)</f>
        <v>36000</v>
      </c>
      <c r="C50" s="24">
        <f t="shared" si="2"/>
        <v>36000</v>
      </c>
      <c r="D50" s="24">
        <f t="shared" si="2"/>
        <v>36000</v>
      </c>
      <c r="E50" s="24">
        <f t="shared" si="2"/>
        <v>37000</v>
      </c>
      <c r="F50" s="24">
        <f t="shared" si="2"/>
        <v>36000</v>
      </c>
      <c r="G50" s="24">
        <f t="shared" si="2"/>
        <v>35000</v>
      </c>
      <c r="H50" s="24">
        <f t="shared" si="2"/>
        <v>215000</v>
      </c>
    </row>
    <row r="51" ht="30.0" customHeight="1">
      <c r="A51" s="27"/>
      <c r="B51" s="24"/>
      <c r="C51" s="24"/>
      <c r="D51" s="24"/>
      <c r="E51" s="24"/>
      <c r="F51" s="24"/>
      <c r="G51" s="24"/>
      <c r="H51" s="24"/>
    </row>
    <row r="52" ht="30.0" customHeight="1">
      <c r="A52" s="27"/>
      <c r="B52" s="25"/>
      <c r="C52" s="25"/>
      <c r="D52" s="25"/>
      <c r="E52" s="25"/>
      <c r="F52" s="25"/>
      <c r="G52" s="25"/>
      <c r="H52" s="25"/>
    </row>
    <row r="53" ht="30.0" customHeight="1">
      <c r="A53" s="27"/>
      <c r="B53" s="25"/>
      <c r="C53" s="25"/>
      <c r="D53" s="25"/>
      <c r="E53" s="25"/>
      <c r="F53" s="25"/>
      <c r="G53" s="25"/>
      <c r="H53" s="25"/>
    </row>
    <row r="54" ht="30.0" customHeight="1">
      <c r="A54" s="27"/>
      <c r="B54" s="25"/>
      <c r="C54" s="25"/>
      <c r="D54" s="25"/>
      <c r="E54" s="25"/>
      <c r="F54" s="25"/>
      <c r="G54" s="25"/>
      <c r="H54" s="25"/>
    </row>
    <row r="55" ht="30.0" customHeight="1">
      <c r="A55" s="27"/>
      <c r="B55" s="25"/>
      <c r="C55" s="25"/>
      <c r="D55" s="25"/>
      <c r="E55" s="25"/>
      <c r="F55" s="25"/>
      <c r="G55" s="25"/>
      <c r="H55" s="25"/>
    </row>
    <row r="56" ht="30.0" customHeight="1">
      <c r="A56" s="27"/>
      <c r="B56" s="25"/>
      <c r="C56" s="25"/>
      <c r="D56" s="25"/>
      <c r="E56" s="25"/>
      <c r="F56" s="25"/>
      <c r="G56" s="25"/>
      <c r="H56" s="25"/>
    </row>
    <row r="57" ht="30.0" customHeight="1">
      <c r="A57" s="27"/>
      <c r="B57" s="25"/>
      <c r="C57" s="25"/>
      <c r="D57" s="25"/>
      <c r="E57" s="25"/>
      <c r="F57" s="25"/>
      <c r="G57" s="25"/>
      <c r="H57" s="25"/>
    </row>
    <row r="58" ht="30.0" customHeight="1">
      <c r="A58" s="27"/>
      <c r="B58" s="25"/>
      <c r="C58" s="25"/>
      <c r="D58" s="25"/>
      <c r="E58" s="25"/>
      <c r="F58" s="25"/>
      <c r="G58" s="25"/>
      <c r="H58" s="25"/>
    </row>
    <row r="59" ht="30.0" customHeight="1">
      <c r="A59" s="27"/>
      <c r="B59" s="25"/>
      <c r="C59" s="25"/>
      <c r="D59" s="25"/>
      <c r="E59" s="25"/>
      <c r="F59" s="25"/>
      <c r="G59" s="25"/>
      <c r="H59" s="25"/>
    </row>
    <row r="60" ht="30.0" customHeight="1">
      <c r="A60" s="27"/>
      <c r="B60" s="25"/>
      <c r="C60" s="25"/>
      <c r="D60" s="25"/>
      <c r="E60" s="25"/>
      <c r="F60" s="25"/>
      <c r="G60" s="25"/>
      <c r="H60" s="25"/>
    </row>
    <row r="61" ht="30.0" customHeight="1">
      <c r="A61" s="27"/>
      <c r="B61" s="25"/>
      <c r="C61" s="25"/>
      <c r="D61" s="25"/>
      <c r="E61" s="25"/>
      <c r="F61" s="25"/>
      <c r="G61" s="25"/>
      <c r="H61" s="25"/>
    </row>
    <row r="62" ht="15.75" customHeight="1">
      <c r="A62" s="27"/>
      <c r="B62" s="25"/>
      <c r="C62" s="25"/>
      <c r="D62" s="25"/>
      <c r="E62" s="25"/>
      <c r="F62" s="25"/>
      <c r="G62" s="25"/>
      <c r="H62" s="25"/>
    </row>
    <row r="63" ht="15.75" customHeight="1">
      <c r="A63" s="29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</sheetData>
  <printOptions/>
  <pageMargins bottom="0.75" footer="0.0" header="0.0" left="0.25" right="0.25" top="0.75"/>
  <pageSetup fitToHeight="0" paperSize="8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7.14"/>
    <col customWidth="1" min="2" max="2" width="29.43"/>
    <col customWidth="1" min="3" max="3" width="78.29"/>
    <col customWidth="1" min="4" max="4" width="16.14"/>
    <col customWidth="1" min="5" max="26" width="8.71"/>
  </cols>
  <sheetData>
    <row r="1" ht="30.0" customHeight="1">
      <c r="A1" s="72" t="s">
        <v>118</v>
      </c>
      <c r="B1" s="45" t="s">
        <v>119</v>
      </c>
      <c r="C1" s="45" t="s">
        <v>33</v>
      </c>
      <c r="D1" s="45" t="s">
        <v>34</v>
      </c>
    </row>
    <row r="2">
      <c r="A2" s="94">
        <v>44335.0</v>
      </c>
      <c r="B2" s="43" t="s">
        <v>120</v>
      </c>
      <c r="C2" s="43" t="s">
        <v>121</v>
      </c>
      <c r="D2" s="95">
        <v>2590.0</v>
      </c>
    </row>
    <row r="3">
      <c r="A3" s="94">
        <v>44329.0</v>
      </c>
      <c r="B3" s="43" t="s">
        <v>122</v>
      </c>
      <c r="C3" s="43" t="s">
        <v>123</v>
      </c>
      <c r="D3" s="95">
        <v>800.0</v>
      </c>
    </row>
    <row r="4">
      <c r="A4" s="94">
        <v>44341.0</v>
      </c>
      <c r="B4" s="43" t="s">
        <v>122</v>
      </c>
      <c r="C4" s="43" t="s">
        <v>124</v>
      </c>
      <c r="D4" s="95">
        <v>3500.0</v>
      </c>
    </row>
    <row r="5">
      <c r="A5" s="94">
        <v>44342.0</v>
      </c>
      <c r="B5" s="43" t="s">
        <v>119</v>
      </c>
      <c r="C5" s="43" t="s">
        <v>125</v>
      </c>
      <c r="D5" s="95">
        <v>1800.0</v>
      </c>
    </row>
    <row r="6">
      <c r="A6" s="94">
        <v>44343.0</v>
      </c>
      <c r="B6" s="43" t="s">
        <v>120</v>
      </c>
      <c r="C6" s="43" t="s">
        <v>126</v>
      </c>
      <c r="D6" s="95">
        <v>1800.0</v>
      </c>
    </row>
    <row r="7">
      <c r="A7" s="94">
        <v>44340.0</v>
      </c>
      <c r="B7" s="43" t="s">
        <v>122</v>
      </c>
      <c r="C7" s="43" t="s">
        <v>127</v>
      </c>
      <c r="D7" s="95">
        <v>1430.0</v>
      </c>
    </row>
    <row r="8">
      <c r="A8" s="94">
        <v>44341.0</v>
      </c>
      <c r="B8" s="43" t="s">
        <v>122</v>
      </c>
      <c r="C8" s="43" t="s">
        <v>128</v>
      </c>
      <c r="D8" s="95">
        <v>1500.0</v>
      </c>
    </row>
    <row r="9">
      <c r="A9" s="94">
        <v>44348.0</v>
      </c>
      <c r="B9" s="43" t="s">
        <v>122</v>
      </c>
      <c r="C9" s="43" t="s">
        <v>129</v>
      </c>
      <c r="D9" s="95">
        <v>4650.0</v>
      </c>
    </row>
    <row r="10">
      <c r="A10" s="94">
        <v>44348.0</v>
      </c>
      <c r="B10" s="43" t="s">
        <v>122</v>
      </c>
      <c r="C10" s="43" t="s">
        <v>130</v>
      </c>
      <c r="D10" s="95">
        <v>600.0</v>
      </c>
    </row>
    <row r="11">
      <c r="A11" s="94">
        <v>44360.0</v>
      </c>
      <c r="B11" s="43" t="s">
        <v>122</v>
      </c>
      <c r="C11" s="43" t="s">
        <v>131</v>
      </c>
      <c r="D11" s="95">
        <v>800.0</v>
      </c>
    </row>
    <row r="12">
      <c r="A12" s="94">
        <v>44365.0</v>
      </c>
      <c r="B12" s="43" t="s">
        <v>122</v>
      </c>
      <c r="C12" s="43" t="s">
        <v>132</v>
      </c>
      <c r="D12" s="95">
        <v>150.0</v>
      </c>
    </row>
    <row r="13">
      <c r="A13" s="94">
        <v>44366.0</v>
      </c>
      <c r="B13" s="43" t="s">
        <v>122</v>
      </c>
      <c r="C13" s="43" t="s">
        <v>133</v>
      </c>
      <c r="D13" s="95">
        <v>500.0</v>
      </c>
    </row>
    <row r="14">
      <c r="A14" s="94">
        <v>44366.0</v>
      </c>
      <c r="B14" s="43" t="s">
        <v>122</v>
      </c>
      <c r="C14" s="43" t="s">
        <v>134</v>
      </c>
      <c r="D14" s="95">
        <v>0.0</v>
      </c>
    </row>
    <row r="15">
      <c r="A15" s="94">
        <v>44377.0</v>
      </c>
      <c r="B15" s="43" t="s">
        <v>120</v>
      </c>
      <c r="C15" s="43" t="s">
        <v>135</v>
      </c>
      <c r="D15" s="95">
        <v>2040.0</v>
      </c>
    </row>
    <row r="16">
      <c r="A16" s="94">
        <v>44386.0</v>
      </c>
      <c r="B16" s="43" t="s">
        <v>122</v>
      </c>
      <c r="C16" s="43" t="s">
        <v>136</v>
      </c>
      <c r="D16" s="95">
        <v>1783.0</v>
      </c>
    </row>
    <row r="17">
      <c r="A17" s="94">
        <v>44387.0</v>
      </c>
      <c r="B17" s="43" t="s">
        <v>122</v>
      </c>
      <c r="C17" s="43" t="s">
        <v>136</v>
      </c>
      <c r="D17" s="95">
        <v>1870.0</v>
      </c>
    </row>
    <row r="18">
      <c r="A18" s="94">
        <v>44387.0</v>
      </c>
      <c r="B18" s="43" t="s">
        <v>122</v>
      </c>
      <c r="C18" s="43" t="s">
        <v>137</v>
      </c>
      <c r="D18" s="95">
        <v>2000.0</v>
      </c>
    </row>
    <row r="19">
      <c r="A19" s="94">
        <v>44395.0</v>
      </c>
      <c r="B19" s="43" t="s">
        <v>122</v>
      </c>
      <c r="C19" s="43" t="s">
        <v>138</v>
      </c>
      <c r="D19" s="95">
        <v>550.0</v>
      </c>
    </row>
    <row r="20">
      <c r="A20" s="94">
        <v>44406.0</v>
      </c>
      <c r="B20" s="43" t="s">
        <v>120</v>
      </c>
      <c r="C20" s="43" t="s">
        <v>139</v>
      </c>
      <c r="D20" s="95">
        <v>2580.0</v>
      </c>
    </row>
    <row r="21" ht="15.75" customHeight="1">
      <c r="A21" s="94">
        <v>44423.0</v>
      </c>
      <c r="B21" s="43" t="s">
        <v>122</v>
      </c>
      <c r="C21" s="43" t="s">
        <v>140</v>
      </c>
      <c r="D21" s="95">
        <v>1500.0</v>
      </c>
    </row>
    <row r="22" ht="15.75" customHeight="1">
      <c r="A22" s="94">
        <v>44423.0</v>
      </c>
      <c r="B22" s="43" t="s">
        <v>122</v>
      </c>
      <c r="C22" s="43" t="s">
        <v>141</v>
      </c>
      <c r="D22" s="95">
        <v>120.0</v>
      </c>
    </row>
    <row r="23" ht="15.75" customHeight="1">
      <c r="A23" s="94">
        <v>44424.0</v>
      </c>
      <c r="B23" s="43" t="s">
        <v>122</v>
      </c>
      <c r="C23" s="43" t="s">
        <v>142</v>
      </c>
      <c r="D23" s="95">
        <v>200.0</v>
      </c>
    </row>
    <row r="24" ht="15.75" customHeight="1">
      <c r="A24" s="94">
        <v>44438.0</v>
      </c>
      <c r="B24" s="43" t="s">
        <v>120</v>
      </c>
      <c r="C24" s="43" t="s">
        <v>143</v>
      </c>
      <c r="D24" s="95">
        <v>2270.0</v>
      </c>
    </row>
    <row r="25" ht="15.75" customHeight="1">
      <c r="A25" s="94">
        <v>44454.0</v>
      </c>
      <c r="B25" s="43" t="s">
        <v>122</v>
      </c>
      <c r="C25" s="43" t="s">
        <v>144</v>
      </c>
      <c r="D25" s="95">
        <v>1500.0</v>
      </c>
    </row>
    <row r="26" ht="15.75" customHeight="1">
      <c r="A26" s="94">
        <v>44458.0</v>
      </c>
      <c r="B26" s="43" t="s">
        <v>122</v>
      </c>
      <c r="C26" s="43" t="s">
        <v>145</v>
      </c>
      <c r="D26" s="95">
        <v>600.0</v>
      </c>
    </row>
    <row r="27" ht="15.75" customHeight="1">
      <c r="A27" s="94">
        <v>44472.0</v>
      </c>
      <c r="B27" s="43" t="s">
        <v>120</v>
      </c>
      <c r="C27" s="43" t="s">
        <v>146</v>
      </c>
      <c r="D27" s="95">
        <v>2540.0</v>
      </c>
    </row>
    <row r="28" ht="15.75" customHeight="1">
      <c r="A28" s="94">
        <v>44476.0</v>
      </c>
      <c r="B28" s="43" t="s">
        <v>122</v>
      </c>
      <c r="C28" s="43" t="s">
        <v>147</v>
      </c>
      <c r="D28" s="95">
        <v>1500.0</v>
      </c>
    </row>
    <row r="29" ht="15.75" customHeight="1">
      <c r="A29" s="96">
        <v>44484.0</v>
      </c>
      <c r="B29" s="43" t="s">
        <v>122</v>
      </c>
      <c r="C29" s="43" t="s">
        <v>148</v>
      </c>
      <c r="D29" s="95">
        <v>150.0</v>
      </c>
    </row>
    <row r="30" ht="15.75" customHeight="1">
      <c r="A30" s="97">
        <v>44489.0</v>
      </c>
      <c r="B30" s="43" t="s">
        <v>122</v>
      </c>
      <c r="C30" s="43" t="s">
        <v>149</v>
      </c>
      <c r="D30" s="95">
        <v>500.0</v>
      </c>
    </row>
    <row r="31" ht="15.75" customHeight="1">
      <c r="A31" s="94">
        <v>44491.0</v>
      </c>
      <c r="B31" s="43" t="s">
        <v>120</v>
      </c>
      <c r="C31" s="43" t="s">
        <v>150</v>
      </c>
      <c r="D31" s="95">
        <v>2590.0</v>
      </c>
    </row>
    <row r="32" ht="15.75" customHeight="1">
      <c r="A32" s="94">
        <v>44513.0</v>
      </c>
      <c r="B32" s="43" t="s">
        <v>122</v>
      </c>
      <c r="C32" s="43" t="s">
        <v>151</v>
      </c>
      <c r="D32" s="95">
        <v>1500.0</v>
      </c>
    </row>
    <row r="33" ht="15.75" customHeight="1">
      <c r="A33" s="94">
        <v>44527.0</v>
      </c>
      <c r="B33" s="43" t="s">
        <v>120</v>
      </c>
      <c r="C33" s="43" t="s">
        <v>152</v>
      </c>
      <c r="D33" s="95">
        <v>3020.0</v>
      </c>
    </row>
    <row r="34" ht="15.75" customHeight="1">
      <c r="A34" s="94">
        <v>44535.0</v>
      </c>
      <c r="B34" s="43" t="s">
        <v>122</v>
      </c>
      <c r="C34" s="43" t="s">
        <v>151</v>
      </c>
      <c r="D34" s="95">
        <v>1500.0</v>
      </c>
    </row>
    <row r="35" ht="15.75" customHeight="1">
      <c r="A35" s="94">
        <v>44535.0</v>
      </c>
      <c r="B35" s="43" t="s">
        <v>122</v>
      </c>
      <c r="C35" s="43" t="s">
        <v>153</v>
      </c>
      <c r="D35" s="95">
        <v>120.0</v>
      </c>
    </row>
    <row r="36" ht="15.75" customHeight="1">
      <c r="A36" s="94">
        <v>44540.0</v>
      </c>
      <c r="B36" s="43" t="s">
        <v>122</v>
      </c>
      <c r="C36" s="43" t="s">
        <v>154</v>
      </c>
      <c r="D36" s="95">
        <v>220.0</v>
      </c>
    </row>
    <row r="37" ht="15.75" customHeight="1">
      <c r="A37" s="94">
        <v>44557.0</v>
      </c>
      <c r="B37" s="43" t="s">
        <v>120</v>
      </c>
      <c r="C37" s="43" t="s">
        <v>155</v>
      </c>
      <c r="D37" s="95">
        <v>2530.0</v>
      </c>
    </row>
    <row r="38" ht="15.75" customHeight="1">
      <c r="A38" s="94">
        <v>44566.0</v>
      </c>
      <c r="B38" s="43" t="s">
        <v>122</v>
      </c>
      <c r="C38" s="43" t="s">
        <v>156</v>
      </c>
      <c r="D38" s="95">
        <v>1500.0</v>
      </c>
    </row>
    <row r="39" ht="15.75" customHeight="1">
      <c r="A39" s="94">
        <v>44584.0</v>
      </c>
      <c r="B39" s="43" t="s">
        <v>120</v>
      </c>
      <c r="C39" s="43" t="s">
        <v>157</v>
      </c>
      <c r="D39" s="95">
        <v>2960.0</v>
      </c>
    </row>
    <row r="40" ht="15.75" customHeight="1">
      <c r="A40" s="94">
        <v>44557.0</v>
      </c>
      <c r="B40" s="43" t="s">
        <v>122</v>
      </c>
      <c r="C40" s="43" t="s">
        <v>158</v>
      </c>
      <c r="D40" s="95">
        <v>200.0</v>
      </c>
    </row>
    <row r="41" ht="15.75" customHeight="1">
      <c r="A41" s="94">
        <v>44590.0</v>
      </c>
      <c r="B41" s="43" t="s">
        <v>122</v>
      </c>
      <c r="C41" s="43" t="s">
        <v>159</v>
      </c>
      <c r="D41" s="95">
        <v>1200.0</v>
      </c>
    </row>
    <row r="42" ht="15.75" customHeight="1">
      <c r="A42" s="94">
        <v>44597.0</v>
      </c>
      <c r="B42" s="43" t="s">
        <v>122</v>
      </c>
      <c r="C42" s="43" t="s">
        <v>160</v>
      </c>
      <c r="D42" s="95">
        <v>1500.0</v>
      </c>
    </row>
    <row r="43" ht="15.75" customHeight="1">
      <c r="A43" s="94">
        <v>44619.0</v>
      </c>
      <c r="B43" s="43" t="s">
        <v>120</v>
      </c>
      <c r="C43" s="43" t="s">
        <v>161</v>
      </c>
      <c r="D43" s="95">
        <v>2620.0</v>
      </c>
    </row>
    <row r="44" ht="15.75" customHeight="1">
      <c r="A44" s="94">
        <v>44625.0</v>
      </c>
      <c r="B44" s="43" t="s">
        <v>122</v>
      </c>
      <c r="C44" s="43" t="s">
        <v>160</v>
      </c>
      <c r="D44" s="95">
        <v>1500.0</v>
      </c>
    </row>
    <row r="45" ht="15.75" customHeight="1">
      <c r="A45" s="94">
        <v>44625.0</v>
      </c>
      <c r="B45" s="43" t="s">
        <v>122</v>
      </c>
      <c r="C45" s="43" t="s">
        <v>162</v>
      </c>
      <c r="D45" s="95">
        <v>500.0</v>
      </c>
    </row>
    <row r="46" ht="15.75" customHeight="1">
      <c r="A46" s="94">
        <v>44646.0</v>
      </c>
      <c r="B46" s="43" t="s">
        <v>120</v>
      </c>
      <c r="C46" s="43" t="s">
        <v>163</v>
      </c>
      <c r="D46" s="95">
        <v>2540.0</v>
      </c>
    </row>
    <row r="47" ht="15.75" customHeight="1">
      <c r="A47" s="94">
        <v>44646.0</v>
      </c>
      <c r="B47" s="43" t="s">
        <v>122</v>
      </c>
      <c r="C47" s="43" t="s">
        <v>164</v>
      </c>
      <c r="D47" s="95">
        <v>200.0</v>
      </c>
    </row>
    <row r="48" ht="15.75" customHeight="1">
      <c r="A48" s="94">
        <v>44656.0</v>
      </c>
      <c r="B48" s="43" t="s">
        <v>122</v>
      </c>
      <c r="C48" s="43" t="s">
        <v>165</v>
      </c>
      <c r="D48" s="95">
        <v>1200.0</v>
      </c>
    </row>
    <row r="49" ht="15.75" customHeight="1">
      <c r="A49" s="94">
        <v>44688.0</v>
      </c>
      <c r="B49" s="43" t="s">
        <v>120</v>
      </c>
      <c r="C49" s="43" t="s">
        <v>166</v>
      </c>
      <c r="D49" s="95">
        <v>2890.0</v>
      </c>
    </row>
    <row r="50" ht="15.75" customHeight="1">
      <c r="A50" s="94">
        <v>44686.0</v>
      </c>
      <c r="B50" s="43" t="s">
        <v>122</v>
      </c>
      <c r="C50" s="43" t="s">
        <v>165</v>
      </c>
      <c r="D50" s="95">
        <v>1700.0</v>
      </c>
    </row>
    <row r="51" ht="15.75" customHeight="1">
      <c r="A51" s="94">
        <v>44692.0</v>
      </c>
      <c r="B51" s="43" t="s">
        <v>122</v>
      </c>
      <c r="C51" s="43" t="s">
        <v>167</v>
      </c>
      <c r="D51" s="95">
        <v>200.0</v>
      </c>
    </row>
    <row r="52" ht="15.75" customHeight="1">
      <c r="A52" s="94">
        <v>44696.0</v>
      </c>
      <c r="B52" s="43" t="s">
        <v>122</v>
      </c>
      <c r="C52" s="43" t="s">
        <v>168</v>
      </c>
      <c r="D52" s="95">
        <v>1600.0</v>
      </c>
    </row>
    <row r="53" ht="15.75" customHeight="1">
      <c r="A53" s="94">
        <v>44699.0</v>
      </c>
      <c r="B53" s="43" t="s">
        <v>122</v>
      </c>
      <c r="C53" s="43" t="s">
        <v>169</v>
      </c>
      <c r="D53" s="95">
        <v>525.0</v>
      </c>
    </row>
    <row r="54" ht="15.75" customHeight="1">
      <c r="A54" s="94">
        <v>44701.0</v>
      </c>
      <c r="B54" s="43" t="s">
        <v>122</v>
      </c>
      <c r="C54" s="43" t="s">
        <v>170</v>
      </c>
      <c r="D54" s="95">
        <v>200.0</v>
      </c>
    </row>
    <row r="55" ht="15.75" customHeight="1">
      <c r="A55" s="94">
        <v>44708.0</v>
      </c>
      <c r="B55" s="43" t="s">
        <v>120</v>
      </c>
      <c r="C55" s="43" t="s">
        <v>126</v>
      </c>
      <c r="D55" s="95">
        <v>2190.0</v>
      </c>
    </row>
    <row r="56" ht="15.75" customHeight="1">
      <c r="A56" s="94">
        <v>44718.0</v>
      </c>
      <c r="B56" s="43" t="s">
        <v>122</v>
      </c>
      <c r="C56" s="43" t="s">
        <v>171</v>
      </c>
      <c r="D56" s="95">
        <v>1700.0</v>
      </c>
    </row>
    <row r="57" ht="15.75" customHeight="1">
      <c r="A57" s="94">
        <v>44718.0</v>
      </c>
      <c r="B57" s="43" t="s">
        <v>122</v>
      </c>
      <c r="C57" s="43" t="s">
        <v>172</v>
      </c>
      <c r="D57" s="95">
        <v>400.0</v>
      </c>
    </row>
    <row r="58" ht="15.75" customHeight="1">
      <c r="A58" s="94">
        <v>44731.0</v>
      </c>
      <c r="B58" s="43" t="s">
        <v>122</v>
      </c>
      <c r="C58" s="43" t="s">
        <v>173</v>
      </c>
      <c r="D58" s="95">
        <v>3500.0</v>
      </c>
    </row>
    <row r="59" ht="15.75" customHeight="1">
      <c r="A59" s="94">
        <v>44740.0</v>
      </c>
      <c r="B59" s="43" t="s">
        <v>122</v>
      </c>
      <c r="C59" s="43" t="s">
        <v>174</v>
      </c>
      <c r="D59" s="95">
        <v>120.0</v>
      </c>
    </row>
    <row r="60" ht="15.75" customHeight="1">
      <c r="A60" s="94">
        <v>44743.0</v>
      </c>
      <c r="B60" s="43" t="s">
        <v>120</v>
      </c>
      <c r="C60" s="43" t="s">
        <v>135</v>
      </c>
      <c r="D60" s="95">
        <v>3490.0</v>
      </c>
    </row>
    <row r="61" ht="15.75" customHeight="1">
      <c r="A61" s="94">
        <v>44749.0</v>
      </c>
      <c r="B61" s="43" t="s">
        <v>122</v>
      </c>
      <c r="C61" s="43" t="s">
        <v>171</v>
      </c>
      <c r="D61" s="95">
        <v>1700.0</v>
      </c>
    </row>
    <row r="62" ht="15.75" customHeight="1">
      <c r="A62" s="96">
        <v>44769.0</v>
      </c>
      <c r="B62" s="98" t="s">
        <v>120</v>
      </c>
      <c r="C62" s="98" t="s">
        <v>139</v>
      </c>
      <c r="D62" s="99">
        <v>6580.0</v>
      </c>
    </row>
    <row r="63" ht="15.75" customHeight="1">
      <c r="A63" s="96">
        <v>44780.0</v>
      </c>
      <c r="B63" s="98" t="s">
        <v>122</v>
      </c>
      <c r="C63" s="98" t="s">
        <v>171</v>
      </c>
      <c r="D63" s="99">
        <v>2000.0</v>
      </c>
    </row>
    <row r="64" ht="15.75" customHeight="1">
      <c r="A64" s="96">
        <v>44781.0</v>
      </c>
      <c r="B64" s="98" t="s">
        <v>122</v>
      </c>
      <c r="C64" s="98" t="s">
        <v>175</v>
      </c>
      <c r="D64" s="99">
        <v>1000.0</v>
      </c>
    </row>
    <row r="65" ht="15.75" customHeight="1">
      <c r="A65" s="96">
        <v>44799.0</v>
      </c>
      <c r="B65" s="98" t="s">
        <v>122</v>
      </c>
      <c r="C65" s="98" t="s">
        <v>176</v>
      </c>
      <c r="D65" s="99">
        <v>355.0</v>
      </c>
    </row>
    <row r="66" ht="15.75" customHeight="1">
      <c r="A66" s="96">
        <v>44797.0</v>
      </c>
      <c r="B66" s="98" t="s">
        <v>120</v>
      </c>
      <c r="C66" s="98" t="s">
        <v>177</v>
      </c>
      <c r="D66" s="99">
        <v>7390.0</v>
      </c>
    </row>
    <row r="67" ht="15.75" customHeight="1">
      <c r="A67" s="96">
        <v>44809.0</v>
      </c>
      <c r="B67" s="98" t="s">
        <v>122</v>
      </c>
      <c r="C67" s="98" t="s">
        <v>171</v>
      </c>
      <c r="D67" s="99">
        <v>2000.0</v>
      </c>
    </row>
    <row r="68" ht="15.75" customHeight="1">
      <c r="A68" s="96">
        <v>44814.0</v>
      </c>
      <c r="B68" s="98" t="s">
        <v>122</v>
      </c>
      <c r="C68" s="98" t="s">
        <v>178</v>
      </c>
      <c r="D68" s="99">
        <v>350.0</v>
      </c>
    </row>
    <row r="69" ht="15.75" customHeight="1">
      <c r="A69" s="96">
        <v>44833.0</v>
      </c>
      <c r="B69" s="98" t="s">
        <v>120</v>
      </c>
      <c r="C69" s="98" t="s">
        <v>146</v>
      </c>
      <c r="D69" s="99">
        <v>6970.0</v>
      </c>
    </row>
    <row r="70" ht="15.75" customHeight="1">
      <c r="A70" s="96">
        <v>44840.0</v>
      </c>
      <c r="B70" s="98" t="s">
        <v>122</v>
      </c>
      <c r="C70" s="98" t="s">
        <v>179</v>
      </c>
      <c r="D70" s="99">
        <v>2000.0</v>
      </c>
    </row>
    <row r="71" ht="15.75" customHeight="1">
      <c r="A71" s="96">
        <v>44840.0</v>
      </c>
      <c r="B71" s="98" t="s">
        <v>122</v>
      </c>
      <c r="C71" s="98" t="s">
        <v>174</v>
      </c>
      <c r="D71" s="99">
        <v>200.0</v>
      </c>
    </row>
    <row r="72" ht="15.75" customHeight="1">
      <c r="A72" s="96">
        <v>44843.0</v>
      </c>
      <c r="B72" s="98" t="s">
        <v>122</v>
      </c>
      <c r="C72" s="98" t="s">
        <v>180</v>
      </c>
      <c r="D72" s="99">
        <v>20.0</v>
      </c>
    </row>
    <row r="73" ht="15.75" customHeight="1">
      <c r="A73" s="96">
        <v>44853.0</v>
      </c>
      <c r="B73" s="98" t="s">
        <v>122</v>
      </c>
      <c r="C73" s="98" t="s">
        <v>181</v>
      </c>
      <c r="D73" s="99">
        <v>1000.0</v>
      </c>
    </row>
    <row r="74" ht="15.75" customHeight="1">
      <c r="A74" s="96">
        <v>44856.0</v>
      </c>
      <c r="B74" s="98" t="s">
        <v>122</v>
      </c>
      <c r="C74" s="98" t="s">
        <v>182</v>
      </c>
      <c r="D74" s="99">
        <v>7500.0</v>
      </c>
    </row>
    <row r="75" ht="15.75" customHeight="1">
      <c r="A75" s="96">
        <v>44857.0</v>
      </c>
      <c r="B75" s="98" t="s">
        <v>122</v>
      </c>
      <c r="C75" s="98" t="s">
        <v>183</v>
      </c>
      <c r="D75" s="99">
        <v>600.0</v>
      </c>
    </row>
    <row r="76" ht="15.75" customHeight="1">
      <c r="A76" s="100">
        <v>44867.0</v>
      </c>
      <c r="B76" s="101" t="s">
        <v>120</v>
      </c>
      <c r="C76" s="101" t="s">
        <v>150</v>
      </c>
      <c r="D76" s="102">
        <v>6170.0</v>
      </c>
      <c r="E76" s="103"/>
      <c r="F76" s="103"/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3"/>
      <c r="V76" s="103"/>
      <c r="W76" s="103"/>
      <c r="X76" s="103"/>
      <c r="Y76" s="103"/>
      <c r="Z76" s="103"/>
    </row>
    <row r="77" ht="15.75" customHeight="1">
      <c r="A77" s="100">
        <v>44870.0</v>
      </c>
      <c r="B77" s="101" t="s">
        <v>122</v>
      </c>
      <c r="C77" s="101" t="s">
        <v>171</v>
      </c>
      <c r="D77" s="102">
        <v>2500.0</v>
      </c>
      <c r="E77" s="103"/>
      <c r="F77" s="103"/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3"/>
      <c r="V77" s="103"/>
      <c r="W77" s="103"/>
      <c r="X77" s="103"/>
      <c r="Y77" s="103"/>
      <c r="Z77" s="103"/>
    </row>
    <row r="78" ht="15.75" customHeight="1">
      <c r="A78" s="96">
        <v>44862.0</v>
      </c>
      <c r="B78" s="98" t="s">
        <v>122</v>
      </c>
      <c r="C78" s="98" t="s">
        <v>184</v>
      </c>
      <c r="D78" s="99">
        <v>477.0</v>
      </c>
    </row>
    <row r="79" ht="15.75" customHeight="1">
      <c r="A79" s="96">
        <v>44858.0</v>
      </c>
      <c r="B79" s="98" t="s">
        <v>122</v>
      </c>
      <c r="C79" s="98" t="s">
        <v>185</v>
      </c>
      <c r="D79" s="99">
        <v>1200.0</v>
      </c>
    </row>
    <row r="80" ht="15.75" customHeight="1">
      <c r="A80" s="96">
        <v>44887.0</v>
      </c>
      <c r="B80" s="98" t="s">
        <v>120</v>
      </c>
      <c r="C80" s="98" t="s">
        <v>152</v>
      </c>
      <c r="D80" s="99">
        <v>9120.0</v>
      </c>
    </row>
    <row r="81" ht="15.75" customHeight="1">
      <c r="A81" s="96">
        <v>44896.0</v>
      </c>
      <c r="B81" s="98" t="s">
        <v>122</v>
      </c>
      <c r="C81" s="98" t="s">
        <v>186</v>
      </c>
      <c r="D81" s="99">
        <v>400.0</v>
      </c>
    </row>
    <row r="82" ht="15.75" customHeight="1">
      <c r="A82" s="96">
        <v>44897.0</v>
      </c>
      <c r="B82" s="98" t="s">
        <v>122</v>
      </c>
      <c r="C82" s="98" t="s">
        <v>174</v>
      </c>
      <c r="D82" s="99">
        <v>200.0</v>
      </c>
    </row>
    <row r="83" ht="15.75" customHeight="1">
      <c r="A83" s="96">
        <v>44900.0</v>
      </c>
      <c r="B83" s="98" t="s">
        <v>122</v>
      </c>
      <c r="C83" s="98" t="s">
        <v>171</v>
      </c>
      <c r="D83" s="99">
        <v>2500.0</v>
      </c>
    </row>
    <row r="84" ht="15.75" customHeight="1">
      <c r="A84" s="96">
        <v>44901.0</v>
      </c>
      <c r="B84" s="98" t="s">
        <v>122</v>
      </c>
      <c r="C84" s="98" t="s">
        <v>187</v>
      </c>
      <c r="D84" s="99">
        <v>15000.0</v>
      </c>
    </row>
    <row r="85" ht="15.75" customHeight="1">
      <c r="A85" s="96">
        <v>44912.0</v>
      </c>
      <c r="B85" s="98" t="s">
        <v>122</v>
      </c>
      <c r="C85" s="98" t="s">
        <v>188</v>
      </c>
      <c r="D85" s="99">
        <v>16520.0</v>
      </c>
    </row>
    <row r="86" ht="15.75" customHeight="1">
      <c r="A86" s="96">
        <v>44917.0</v>
      </c>
      <c r="B86" s="98" t="s">
        <v>120</v>
      </c>
      <c r="C86" s="98" t="s">
        <v>189</v>
      </c>
      <c r="D86" s="99">
        <v>7720.0</v>
      </c>
    </row>
    <row r="87" ht="15.75" customHeight="1">
      <c r="A87" s="96">
        <v>44934.0</v>
      </c>
      <c r="B87" s="98" t="s">
        <v>122</v>
      </c>
      <c r="C87" s="98" t="s">
        <v>171</v>
      </c>
      <c r="D87" s="99">
        <v>2500.0</v>
      </c>
    </row>
    <row r="88" ht="15.75" customHeight="1">
      <c r="A88" s="96">
        <v>44953.0</v>
      </c>
      <c r="B88" s="98" t="s">
        <v>122</v>
      </c>
      <c r="C88" s="98" t="s">
        <v>190</v>
      </c>
      <c r="D88" s="99">
        <v>700.0</v>
      </c>
    </row>
    <row r="89" ht="15.75" customHeight="1">
      <c r="A89" s="96">
        <v>44955.0</v>
      </c>
      <c r="B89" s="98" t="s">
        <v>122</v>
      </c>
      <c r="C89" s="98" t="s">
        <v>191</v>
      </c>
      <c r="D89" s="99">
        <v>1000.0</v>
      </c>
    </row>
    <row r="90" ht="15.75" customHeight="1">
      <c r="A90" s="96">
        <v>44956.0</v>
      </c>
      <c r="B90" s="98" t="s">
        <v>122</v>
      </c>
      <c r="C90" s="98" t="s">
        <v>174</v>
      </c>
      <c r="D90" s="99">
        <v>200.0</v>
      </c>
    </row>
    <row r="91" ht="15.75" customHeight="1">
      <c r="A91" s="96">
        <v>44962.0</v>
      </c>
      <c r="B91" s="98" t="s">
        <v>122</v>
      </c>
      <c r="C91" s="98" t="s">
        <v>171</v>
      </c>
      <c r="D91" s="99">
        <v>2500.0</v>
      </c>
    </row>
    <row r="92" ht="15.75" customHeight="1">
      <c r="A92" s="96">
        <v>44968.0</v>
      </c>
      <c r="B92" s="98" t="s">
        <v>120</v>
      </c>
      <c r="C92" s="98" t="s">
        <v>157</v>
      </c>
      <c r="D92" s="99">
        <v>8450.0</v>
      </c>
    </row>
    <row r="93" ht="15.75" customHeight="1">
      <c r="A93" s="96">
        <v>44988.0</v>
      </c>
      <c r="B93" s="98" t="s">
        <v>120</v>
      </c>
      <c r="C93" s="98" t="s">
        <v>161</v>
      </c>
      <c r="D93" s="99">
        <v>8490.0</v>
      </c>
    </row>
    <row r="94" ht="15.75" customHeight="1">
      <c r="A94" s="96">
        <v>44992.0</v>
      </c>
      <c r="B94" s="98" t="s">
        <v>122</v>
      </c>
      <c r="C94" s="98" t="s">
        <v>171</v>
      </c>
      <c r="D94" s="99">
        <v>2500.0</v>
      </c>
    </row>
    <row r="95" ht="15.75" customHeight="1">
      <c r="A95" s="96">
        <v>45007.0</v>
      </c>
      <c r="B95" s="98" t="s">
        <v>122</v>
      </c>
      <c r="C95" s="98" t="s">
        <v>174</v>
      </c>
      <c r="D95" s="99">
        <v>200.0</v>
      </c>
    </row>
    <row r="96" ht="15.75" customHeight="1">
      <c r="A96" s="96">
        <v>45011.0</v>
      </c>
      <c r="B96" s="98" t="s">
        <v>122</v>
      </c>
      <c r="C96" s="98" t="s">
        <v>192</v>
      </c>
      <c r="D96" s="99">
        <v>2880.0</v>
      </c>
    </row>
    <row r="97" ht="15.75" customHeight="1">
      <c r="A97" s="96">
        <v>45025.0</v>
      </c>
      <c r="B97" s="98" t="s">
        <v>122</v>
      </c>
      <c r="C97" s="98" t="s">
        <v>171</v>
      </c>
      <c r="D97" s="99">
        <v>2500.0</v>
      </c>
    </row>
    <row r="98" ht="15.75" customHeight="1">
      <c r="A98" s="96">
        <v>45017.0</v>
      </c>
      <c r="B98" s="98" t="s">
        <v>120</v>
      </c>
      <c r="C98" s="98" t="s">
        <v>163</v>
      </c>
      <c r="D98" s="99">
        <v>8750.0</v>
      </c>
    </row>
    <row r="99" ht="15.75" customHeight="1">
      <c r="A99" s="96">
        <v>45031.0</v>
      </c>
      <c r="B99" s="98" t="s">
        <v>122</v>
      </c>
      <c r="C99" s="98" t="s">
        <v>193</v>
      </c>
      <c r="D99" s="99">
        <v>150.0</v>
      </c>
    </row>
    <row r="100" ht="15.75" customHeight="1">
      <c r="A100" s="96">
        <v>45034.0</v>
      </c>
      <c r="B100" s="98" t="s">
        <v>122</v>
      </c>
      <c r="C100" s="98" t="s">
        <v>194</v>
      </c>
      <c r="D100" s="99">
        <v>1500.0</v>
      </c>
    </row>
    <row r="101" ht="15.75" customHeight="1">
      <c r="A101" s="96">
        <v>45035.0</v>
      </c>
      <c r="B101" s="98" t="s">
        <v>122</v>
      </c>
      <c r="C101" s="98" t="s">
        <v>195</v>
      </c>
      <c r="D101" s="99">
        <v>700.0</v>
      </c>
    </row>
    <row r="102" ht="15.75" customHeight="1">
      <c r="A102" s="96">
        <v>45035.0</v>
      </c>
      <c r="B102" s="98" t="s">
        <v>122</v>
      </c>
      <c r="C102" s="98" t="s">
        <v>196</v>
      </c>
      <c r="D102" s="99">
        <v>28200.0</v>
      </c>
    </row>
    <row r="103" ht="15.75" customHeight="1">
      <c r="A103" s="96">
        <v>45035.0</v>
      </c>
      <c r="B103" s="98" t="s">
        <v>122</v>
      </c>
      <c r="C103" s="98" t="s">
        <v>197</v>
      </c>
      <c r="D103" s="99">
        <v>880.0</v>
      </c>
    </row>
    <row r="104" ht="15.75" customHeight="1">
      <c r="A104" s="96">
        <v>45035.0</v>
      </c>
      <c r="B104" s="98" t="s">
        <v>122</v>
      </c>
      <c r="C104" s="98" t="s">
        <v>198</v>
      </c>
      <c r="D104" s="99">
        <v>1345.0</v>
      </c>
    </row>
    <row r="105" ht="15.75" customHeight="1">
      <c r="A105" s="96">
        <v>45035.0</v>
      </c>
      <c r="B105" s="98" t="s">
        <v>122</v>
      </c>
      <c r="C105" s="98" t="s">
        <v>199</v>
      </c>
      <c r="D105" s="99">
        <v>1525.0</v>
      </c>
    </row>
    <row r="106" ht="15.75" customHeight="1">
      <c r="A106" s="96">
        <v>45049.0</v>
      </c>
      <c r="B106" s="98" t="s">
        <v>122</v>
      </c>
      <c r="C106" s="98" t="s">
        <v>174</v>
      </c>
      <c r="D106" s="99">
        <v>200.0</v>
      </c>
    </row>
    <row r="107" ht="15.75" customHeight="1">
      <c r="A107" s="96">
        <v>45056.0</v>
      </c>
      <c r="B107" s="98" t="s">
        <v>122</v>
      </c>
      <c r="C107" s="98" t="s">
        <v>171</v>
      </c>
      <c r="D107" s="99">
        <v>2500.0</v>
      </c>
    </row>
    <row r="108" ht="15.75" customHeight="1">
      <c r="A108" s="96">
        <v>45065.0</v>
      </c>
      <c r="B108" s="98" t="s">
        <v>122</v>
      </c>
      <c r="C108" s="98" t="s">
        <v>200</v>
      </c>
      <c r="D108" s="99">
        <v>100.0</v>
      </c>
    </row>
    <row r="109" ht="15.75" customHeight="1">
      <c r="A109" s="96">
        <v>45039.0</v>
      </c>
      <c r="B109" s="98" t="s">
        <v>120</v>
      </c>
      <c r="C109" s="98" t="s">
        <v>166</v>
      </c>
      <c r="D109" s="99">
        <v>10130.0</v>
      </c>
    </row>
    <row r="110" ht="15.75" customHeight="1">
      <c r="A110" s="96">
        <v>45087.0</v>
      </c>
      <c r="B110" s="98" t="s">
        <v>122</v>
      </c>
      <c r="C110" s="98" t="s">
        <v>171</v>
      </c>
      <c r="D110" s="99">
        <v>2500.0</v>
      </c>
    </row>
    <row r="111" ht="15.75" customHeight="1">
      <c r="A111" s="96">
        <v>45068.0</v>
      </c>
      <c r="B111" s="98" t="s">
        <v>120</v>
      </c>
      <c r="C111" s="98" t="s">
        <v>126</v>
      </c>
      <c r="D111" s="99">
        <v>8940.0</v>
      </c>
    </row>
    <row r="112" ht="15.75" customHeight="1">
      <c r="A112" s="96">
        <v>45102.0</v>
      </c>
      <c r="B112" s="98" t="s">
        <v>120</v>
      </c>
      <c r="C112" s="98" t="s">
        <v>135</v>
      </c>
      <c r="D112" s="99">
        <v>9080.0</v>
      </c>
    </row>
    <row r="113" ht="15.75" customHeight="1">
      <c r="A113" s="96">
        <v>45100.0</v>
      </c>
      <c r="B113" s="98" t="s">
        <v>122</v>
      </c>
      <c r="C113" s="98" t="s">
        <v>201</v>
      </c>
      <c r="D113" s="99">
        <v>250.0</v>
      </c>
    </row>
    <row r="114" ht="15.75" customHeight="1">
      <c r="A114" s="96">
        <v>45082.0</v>
      </c>
      <c r="B114" s="98" t="s">
        <v>122</v>
      </c>
      <c r="C114" s="98" t="s">
        <v>202</v>
      </c>
      <c r="D114" s="99">
        <v>0.0</v>
      </c>
    </row>
    <row r="115" ht="15.75" customHeight="1">
      <c r="A115" s="96">
        <v>45104.0</v>
      </c>
      <c r="B115" s="98" t="s">
        <v>122</v>
      </c>
      <c r="C115" s="98" t="s">
        <v>203</v>
      </c>
      <c r="D115" s="99">
        <v>1300.0</v>
      </c>
    </row>
    <row r="116" ht="15.75" customHeight="1">
      <c r="A116" s="96">
        <v>45108.0</v>
      </c>
      <c r="B116" s="98" t="s">
        <v>122</v>
      </c>
      <c r="C116" s="98" t="s">
        <v>204</v>
      </c>
      <c r="D116" s="99">
        <v>16170.0</v>
      </c>
    </row>
    <row r="117" ht="15.75" customHeight="1">
      <c r="A117" s="96">
        <v>45117.0</v>
      </c>
      <c r="B117" s="98" t="s">
        <v>122</v>
      </c>
      <c r="C117" s="98" t="s">
        <v>171</v>
      </c>
      <c r="D117" s="99">
        <v>2500.0</v>
      </c>
    </row>
    <row r="118" ht="15.75" customHeight="1">
      <c r="A118" s="97">
        <v>45128.0</v>
      </c>
      <c r="B118" s="98" t="s">
        <v>122</v>
      </c>
      <c r="C118" s="98" t="s">
        <v>205</v>
      </c>
      <c r="D118" s="99">
        <v>2390.0</v>
      </c>
    </row>
    <row r="119" ht="15.75" customHeight="1">
      <c r="A119" s="96">
        <v>45144.0</v>
      </c>
      <c r="B119" s="98" t="s">
        <v>122</v>
      </c>
      <c r="C119" s="98" t="s">
        <v>171</v>
      </c>
      <c r="D119" s="99">
        <v>3500.0</v>
      </c>
    </row>
    <row r="120" ht="15.75" customHeight="1">
      <c r="A120" s="96">
        <v>45133.0</v>
      </c>
      <c r="B120" s="98" t="s">
        <v>120</v>
      </c>
      <c r="C120" s="98" t="s">
        <v>139</v>
      </c>
      <c r="D120" s="99">
        <v>10160.0</v>
      </c>
    </row>
    <row r="121" ht="15.75" customHeight="1">
      <c r="A121" s="96">
        <v>45165.0</v>
      </c>
      <c r="B121" s="98" t="s">
        <v>120</v>
      </c>
      <c r="C121" s="98" t="s">
        <v>177</v>
      </c>
      <c r="D121" s="99">
        <v>10280.0</v>
      </c>
    </row>
    <row r="122" ht="15.75" customHeight="1">
      <c r="A122" s="96">
        <v>45176.0</v>
      </c>
      <c r="B122" s="98" t="s">
        <v>122</v>
      </c>
      <c r="C122" s="98" t="s">
        <v>171</v>
      </c>
      <c r="D122" s="99">
        <v>3500.0</v>
      </c>
    </row>
    <row r="123" ht="15.75" customHeight="1">
      <c r="A123" s="96">
        <v>45177.0</v>
      </c>
      <c r="B123" s="98" t="s">
        <v>122</v>
      </c>
      <c r="C123" s="98" t="s">
        <v>174</v>
      </c>
      <c r="D123" s="99">
        <v>210.0</v>
      </c>
    </row>
    <row r="124" ht="15.75" customHeight="1">
      <c r="A124" s="96">
        <v>45178.0</v>
      </c>
      <c r="B124" s="98" t="s">
        <v>122</v>
      </c>
      <c r="C124" s="98" t="s">
        <v>206</v>
      </c>
      <c r="D124" s="99">
        <v>1600.0</v>
      </c>
    </row>
    <row r="125" ht="15.75" customHeight="1">
      <c r="A125" s="96">
        <v>45185.0</v>
      </c>
      <c r="B125" s="98" t="s">
        <v>122</v>
      </c>
      <c r="C125" s="98" t="s">
        <v>207</v>
      </c>
      <c r="D125" s="99">
        <v>550.0</v>
      </c>
    </row>
    <row r="126" ht="15.75" customHeight="1">
      <c r="A126" s="96">
        <v>45185.0</v>
      </c>
      <c r="B126" s="98" t="s">
        <v>122</v>
      </c>
      <c r="C126" s="98" t="s">
        <v>208</v>
      </c>
      <c r="D126" s="99">
        <v>6000.0</v>
      </c>
    </row>
    <row r="127" ht="15.75" customHeight="1">
      <c r="A127" s="96">
        <v>45186.0</v>
      </c>
      <c r="B127" s="98" t="s">
        <v>122</v>
      </c>
      <c r="C127" s="98" t="s">
        <v>209</v>
      </c>
      <c r="D127" s="99">
        <v>900.0</v>
      </c>
    </row>
    <row r="128" ht="15.75" customHeight="1">
      <c r="A128" s="96">
        <v>45222.0</v>
      </c>
      <c r="B128" s="98" t="s">
        <v>122</v>
      </c>
      <c r="C128" s="98" t="s">
        <v>210</v>
      </c>
      <c r="D128" s="99">
        <v>170.0</v>
      </c>
    </row>
    <row r="129" ht="15.75" customHeight="1">
      <c r="A129" s="96">
        <v>45222.0</v>
      </c>
      <c r="B129" s="98" t="s">
        <v>122</v>
      </c>
      <c r="C129" s="98" t="s">
        <v>211</v>
      </c>
      <c r="D129" s="99">
        <v>300.0</v>
      </c>
    </row>
    <row r="130" ht="15.75" customHeight="1">
      <c r="A130" s="96">
        <v>45222.0</v>
      </c>
      <c r="B130" s="98" t="s">
        <v>122</v>
      </c>
      <c r="C130" s="98" t="s">
        <v>212</v>
      </c>
      <c r="D130" s="99">
        <v>300.0</v>
      </c>
    </row>
    <row r="131" ht="15.75" customHeight="1">
      <c r="A131" s="97">
        <v>45215.0</v>
      </c>
      <c r="B131" s="98" t="s">
        <v>213</v>
      </c>
      <c r="C131" s="98" t="s">
        <v>171</v>
      </c>
      <c r="D131" s="99">
        <v>3500.0</v>
      </c>
    </row>
    <row r="132" ht="15.75" customHeight="1">
      <c r="A132" s="96">
        <v>45204.0</v>
      </c>
      <c r="B132" s="98" t="s">
        <v>120</v>
      </c>
      <c r="C132" s="98" t="s">
        <v>146</v>
      </c>
      <c r="D132" s="99">
        <v>11510.0</v>
      </c>
    </row>
    <row r="133" ht="15.75" customHeight="1">
      <c r="A133" s="96">
        <v>45227.0</v>
      </c>
      <c r="B133" s="98" t="s">
        <v>120</v>
      </c>
      <c r="C133" s="98" t="s">
        <v>150</v>
      </c>
      <c r="D133" s="99">
        <v>10630.0</v>
      </c>
    </row>
    <row r="134" ht="15.75" customHeight="1">
      <c r="A134" s="96">
        <v>45208.0</v>
      </c>
      <c r="B134" s="98" t="s">
        <v>122</v>
      </c>
      <c r="C134" s="98" t="s">
        <v>214</v>
      </c>
      <c r="D134" s="99">
        <v>1000.0</v>
      </c>
    </row>
    <row r="135" ht="15.75" customHeight="1">
      <c r="A135" s="96">
        <v>45208.0</v>
      </c>
      <c r="B135" s="98" t="s">
        <v>122</v>
      </c>
      <c r="C135" s="98" t="s">
        <v>215</v>
      </c>
      <c r="D135" s="99">
        <v>1500.0</v>
      </c>
    </row>
    <row r="136" ht="15.75" customHeight="1">
      <c r="A136" s="96">
        <v>45233.0</v>
      </c>
      <c r="B136" s="98" t="s">
        <v>122</v>
      </c>
      <c r="C136" s="98" t="s">
        <v>216</v>
      </c>
      <c r="D136" s="99">
        <v>200.0</v>
      </c>
    </row>
    <row r="137" ht="15.75" customHeight="1">
      <c r="A137" s="96">
        <v>45233.0</v>
      </c>
      <c r="B137" s="98" t="s">
        <v>122</v>
      </c>
      <c r="C137" s="98" t="s">
        <v>217</v>
      </c>
      <c r="D137" s="99">
        <v>250.0</v>
      </c>
    </row>
    <row r="138" ht="15.75" customHeight="1">
      <c r="A138" s="96">
        <v>45240.0</v>
      </c>
      <c r="B138" s="98" t="s">
        <v>122</v>
      </c>
      <c r="C138" s="98" t="s">
        <v>218</v>
      </c>
      <c r="D138" s="99">
        <v>200.0</v>
      </c>
    </row>
    <row r="139" ht="15.75" customHeight="1">
      <c r="A139" s="96">
        <v>45240.0</v>
      </c>
      <c r="B139" s="98" t="s">
        <v>122</v>
      </c>
      <c r="C139" s="98" t="s">
        <v>174</v>
      </c>
      <c r="D139" s="99">
        <v>200.0</v>
      </c>
    </row>
    <row r="140" ht="15.75" customHeight="1">
      <c r="A140" s="96">
        <v>45253.0</v>
      </c>
      <c r="B140" s="98" t="s">
        <v>213</v>
      </c>
      <c r="C140" s="98" t="s">
        <v>171</v>
      </c>
      <c r="D140" s="99">
        <v>3500.0</v>
      </c>
    </row>
    <row r="141" ht="15.75" customHeight="1">
      <c r="A141" s="96">
        <v>45263.0</v>
      </c>
      <c r="B141" s="98" t="s">
        <v>120</v>
      </c>
      <c r="C141" s="98" t="s">
        <v>152</v>
      </c>
      <c r="D141" s="99">
        <v>11660.0</v>
      </c>
    </row>
    <row r="142" ht="15.75" customHeight="1">
      <c r="A142" s="96">
        <v>45266.0</v>
      </c>
      <c r="B142" s="98" t="s">
        <v>122</v>
      </c>
      <c r="C142" s="98" t="s">
        <v>219</v>
      </c>
      <c r="D142" s="99">
        <v>600.0</v>
      </c>
    </row>
    <row r="143" ht="15.75" customHeight="1">
      <c r="A143" s="96">
        <v>45271.0</v>
      </c>
      <c r="B143" s="98" t="s">
        <v>213</v>
      </c>
      <c r="C143" s="98" t="s">
        <v>220</v>
      </c>
      <c r="D143" s="99">
        <v>3500.0</v>
      </c>
    </row>
    <row r="144" ht="15.75" customHeight="1">
      <c r="A144" s="96">
        <v>45282.0</v>
      </c>
      <c r="B144" s="98" t="s">
        <v>122</v>
      </c>
      <c r="C144" s="98" t="s">
        <v>174</v>
      </c>
      <c r="D144" s="99">
        <v>200.0</v>
      </c>
    </row>
    <row r="145" ht="15.75" customHeight="1">
      <c r="A145" s="96">
        <v>45298.0</v>
      </c>
      <c r="B145" s="98" t="s">
        <v>213</v>
      </c>
      <c r="C145" s="98" t="s">
        <v>220</v>
      </c>
      <c r="D145" s="99">
        <v>3500.0</v>
      </c>
    </row>
    <row r="146" ht="15.75" customHeight="1">
      <c r="A146" s="96">
        <v>45298.0</v>
      </c>
      <c r="B146" s="98" t="s">
        <v>120</v>
      </c>
      <c r="C146" s="98" t="s">
        <v>155</v>
      </c>
      <c r="D146" s="99">
        <v>10030.0</v>
      </c>
    </row>
    <row r="147" ht="15.75" customHeight="1">
      <c r="A147" s="96">
        <v>45325.0</v>
      </c>
      <c r="B147" s="98" t="s">
        <v>120</v>
      </c>
      <c r="C147" s="98" t="s">
        <v>157</v>
      </c>
      <c r="D147" s="99">
        <v>10420.0</v>
      </c>
    </row>
    <row r="148" ht="15.75" customHeight="1">
      <c r="A148" s="96">
        <v>45334.0</v>
      </c>
      <c r="B148" s="98" t="s">
        <v>213</v>
      </c>
      <c r="C148" s="98" t="s">
        <v>171</v>
      </c>
      <c r="D148" s="99">
        <v>3500.0</v>
      </c>
    </row>
    <row r="149" ht="15.75" customHeight="1">
      <c r="A149" s="96">
        <v>45354.0</v>
      </c>
      <c r="B149" s="98" t="s">
        <v>122</v>
      </c>
      <c r="C149" s="98" t="s">
        <v>190</v>
      </c>
      <c r="D149" s="99">
        <v>800.0</v>
      </c>
    </row>
    <row r="150" ht="15.75" customHeight="1">
      <c r="A150" s="96">
        <v>45359.0</v>
      </c>
      <c r="B150" s="98" t="s">
        <v>213</v>
      </c>
      <c r="C150" s="98" t="s">
        <v>220</v>
      </c>
      <c r="D150" s="99">
        <v>3500.0</v>
      </c>
    </row>
    <row r="151" ht="15.75" customHeight="1">
      <c r="A151" s="96">
        <v>45358.0</v>
      </c>
      <c r="B151" s="98" t="s">
        <v>122</v>
      </c>
      <c r="C151" s="98" t="s">
        <v>221</v>
      </c>
      <c r="D151" s="99">
        <v>5000.0</v>
      </c>
    </row>
    <row r="152" ht="15.75" customHeight="1">
      <c r="A152" s="96">
        <v>45355.0</v>
      </c>
      <c r="B152" s="98" t="s">
        <v>120</v>
      </c>
      <c r="C152" s="98" t="s">
        <v>161</v>
      </c>
      <c r="D152" s="99">
        <v>11280.0</v>
      </c>
    </row>
    <row r="153" ht="15.75" customHeight="1">
      <c r="A153" s="96">
        <v>45375.0</v>
      </c>
      <c r="B153" s="98" t="s">
        <v>122</v>
      </c>
      <c r="C153" s="98" t="s">
        <v>222</v>
      </c>
      <c r="D153" s="99">
        <v>100.0</v>
      </c>
    </row>
    <row r="154" ht="15.75" customHeight="1">
      <c r="A154" s="96">
        <v>45376.0</v>
      </c>
      <c r="B154" s="98" t="s">
        <v>120</v>
      </c>
      <c r="C154" s="98" t="s">
        <v>163</v>
      </c>
      <c r="D154" s="99">
        <v>9960.0</v>
      </c>
    </row>
    <row r="155" ht="15.75" customHeight="1">
      <c r="A155" s="96">
        <v>45386.0</v>
      </c>
      <c r="B155" s="98" t="s">
        <v>213</v>
      </c>
      <c r="C155" s="98" t="s">
        <v>171</v>
      </c>
      <c r="D155" s="99">
        <v>3500.0</v>
      </c>
    </row>
    <row r="156" ht="15.75" customHeight="1">
      <c r="A156" s="96">
        <v>45416.0</v>
      </c>
      <c r="B156" s="98" t="s">
        <v>122</v>
      </c>
      <c r="C156" s="98" t="s">
        <v>174</v>
      </c>
      <c r="D156" s="99">
        <v>200.0</v>
      </c>
    </row>
    <row r="157" ht="15.75" customHeight="1">
      <c r="A157" s="96">
        <v>45417.0</v>
      </c>
      <c r="B157" s="98" t="s">
        <v>120</v>
      </c>
      <c r="C157" s="98" t="s">
        <v>166</v>
      </c>
      <c r="D157" s="99">
        <v>12430.0</v>
      </c>
    </row>
    <row r="158" ht="15.75" customHeight="1">
      <c r="A158" s="104">
        <v>45440.0</v>
      </c>
      <c r="B158" s="98" t="s">
        <v>122</v>
      </c>
      <c r="C158" s="98" t="s">
        <v>223</v>
      </c>
      <c r="D158" s="99">
        <v>1700.0</v>
      </c>
    </row>
    <row r="159" ht="15.75" customHeight="1">
      <c r="A159" s="96">
        <v>45419.0</v>
      </c>
      <c r="B159" s="98" t="s">
        <v>213</v>
      </c>
      <c r="C159" s="98" t="s">
        <v>171</v>
      </c>
      <c r="D159" s="99">
        <v>3500.0</v>
      </c>
    </row>
    <row r="160" ht="15.75" customHeight="1">
      <c r="A160" s="96">
        <v>45455.0</v>
      </c>
      <c r="B160" s="98" t="s">
        <v>213</v>
      </c>
      <c r="C160" s="98" t="s">
        <v>171</v>
      </c>
      <c r="D160" s="99">
        <v>3500.0</v>
      </c>
    </row>
    <row r="161" ht="15.75" customHeight="1">
      <c r="A161" s="96">
        <v>45455.0</v>
      </c>
      <c r="B161" s="98" t="s">
        <v>122</v>
      </c>
      <c r="C161" s="98" t="s">
        <v>174</v>
      </c>
      <c r="D161" s="99">
        <v>200.0</v>
      </c>
    </row>
    <row r="162" ht="15.75" customHeight="1">
      <c r="A162" s="96">
        <v>45437.0</v>
      </c>
      <c r="B162" s="98" t="s">
        <v>120</v>
      </c>
      <c r="C162" s="98" t="s">
        <v>126</v>
      </c>
      <c r="D162" s="99">
        <v>11790.0</v>
      </c>
    </row>
    <row r="163" ht="15.75" customHeight="1">
      <c r="A163" s="96">
        <v>45472.0</v>
      </c>
      <c r="B163" s="98" t="s">
        <v>122</v>
      </c>
      <c r="C163" s="98" t="s">
        <v>224</v>
      </c>
      <c r="D163" s="99">
        <v>100.0</v>
      </c>
    </row>
    <row r="164" ht="15.75" customHeight="1">
      <c r="A164" s="96">
        <v>45498.0</v>
      </c>
      <c r="B164" s="98" t="s">
        <v>122</v>
      </c>
      <c r="C164" s="98" t="s">
        <v>225</v>
      </c>
      <c r="D164" s="99">
        <v>2650.0</v>
      </c>
    </row>
    <row r="165" ht="15.75" customHeight="1">
      <c r="A165" s="96">
        <v>45510.0</v>
      </c>
      <c r="B165" s="98" t="s">
        <v>122</v>
      </c>
      <c r="C165" s="98" t="s">
        <v>226</v>
      </c>
      <c r="D165" s="99">
        <v>3500.0</v>
      </c>
    </row>
    <row r="166" ht="15.75" customHeight="1">
      <c r="A166" s="96">
        <v>45517.0</v>
      </c>
      <c r="B166" s="98" t="s">
        <v>213</v>
      </c>
      <c r="C166" s="98" t="s">
        <v>227</v>
      </c>
      <c r="D166" s="99">
        <v>3500.0</v>
      </c>
    </row>
    <row r="167" ht="15.75" customHeight="1">
      <c r="A167" s="96">
        <v>45534.0</v>
      </c>
      <c r="B167" s="98" t="s">
        <v>122</v>
      </c>
      <c r="C167" s="98" t="s">
        <v>228</v>
      </c>
      <c r="D167" s="99">
        <v>100.0</v>
      </c>
    </row>
    <row r="168" ht="15.75" customHeight="1">
      <c r="A168" s="96">
        <v>45535.0</v>
      </c>
      <c r="B168" s="98" t="s">
        <v>122</v>
      </c>
      <c r="C168" s="98" t="s">
        <v>229</v>
      </c>
      <c r="D168" s="99">
        <v>500.0</v>
      </c>
    </row>
    <row r="169" ht="15.75" customHeight="1">
      <c r="A169" s="96">
        <v>45549.0</v>
      </c>
      <c r="B169" s="98" t="s">
        <v>213</v>
      </c>
      <c r="C169" s="98" t="s">
        <v>230</v>
      </c>
      <c r="D169" s="99">
        <v>3500.0</v>
      </c>
    </row>
    <row r="170" ht="15.75" customHeight="1">
      <c r="A170" s="96">
        <v>45483.0</v>
      </c>
      <c r="B170" s="98" t="s">
        <v>213</v>
      </c>
      <c r="C170" s="98" t="s">
        <v>231</v>
      </c>
      <c r="D170" s="99">
        <v>3500.0</v>
      </c>
    </row>
    <row r="171" ht="15.75" customHeight="1">
      <c r="A171" s="96">
        <v>45492.0</v>
      </c>
      <c r="B171" s="98" t="s">
        <v>120</v>
      </c>
      <c r="C171" s="98" t="s">
        <v>135</v>
      </c>
      <c r="D171" s="99">
        <v>14420.0</v>
      </c>
    </row>
    <row r="172" ht="15.75" customHeight="1">
      <c r="A172" s="96">
        <v>45500.0</v>
      </c>
      <c r="B172" s="98" t="s">
        <v>120</v>
      </c>
      <c r="C172" s="98" t="s">
        <v>232</v>
      </c>
      <c r="D172" s="99">
        <v>26980.0</v>
      </c>
    </row>
    <row r="173" ht="15.75" customHeight="1">
      <c r="A173" s="96">
        <v>45568.0</v>
      </c>
      <c r="B173" s="98" t="s">
        <v>213</v>
      </c>
      <c r="C173" s="98" t="s">
        <v>233</v>
      </c>
      <c r="D173" s="99">
        <v>3500.0</v>
      </c>
    </row>
    <row r="174" ht="15.75" customHeight="1">
      <c r="A174" s="96">
        <v>45590.0</v>
      </c>
      <c r="B174" s="98" t="s">
        <v>122</v>
      </c>
      <c r="C174" s="98" t="s">
        <v>234</v>
      </c>
      <c r="D174" s="99">
        <v>310.0</v>
      </c>
    </row>
    <row r="175" ht="15.75" customHeight="1">
      <c r="A175" s="96">
        <v>45600.0</v>
      </c>
      <c r="B175" s="98" t="s">
        <v>122</v>
      </c>
      <c r="C175" s="98" t="s">
        <v>235</v>
      </c>
      <c r="D175" s="99">
        <v>400.0</v>
      </c>
    </row>
    <row r="176" ht="15.75" customHeight="1">
      <c r="A176" s="96">
        <v>45603.0</v>
      </c>
      <c r="B176" s="98" t="s">
        <v>122</v>
      </c>
      <c r="C176" s="98" t="s">
        <v>236</v>
      </c>
      <c r="D176" s="99">
        <v>500.0</v>
      </c>
    </row>
    <row r="177" ht="15.75" customHeight="1">
      <c r="A177" s="96">
        <v>45604.0</v>
      </c>
      <c r="B177" s="98" t="s">
        <v>122</v>
      </c>
      <c r="C177" s="98" t="s">
        <v>237</v>
      </c>
      <c r="D177" s="99">
        <v>2600.0</v>
      </c>
    </row>
    <row r="178" ht="15.75" customHeight="1">
      <c r="A178" s="96">
        <v>45557.0</v>
      </c>
      <c r="B178" s="98" t="s">
        <v>120</v>
      </c>
      <c r="C178" s="98" t="s">
        <v>146</v>
      </c>
      <c r="D178" s="99">
        <v>11710.0</v>
      </c>
    </row>
    <row r="179" ht="15.75" customHeight="1">
      <c r="A179" s="96">
        <v>45593.0</v>
      </c>
      <c r="B179" s="98" t="s">
        <v>120</v>
      </c>
      <c r="C179" s="98" t="s">
        <v>150</v>
      </c>
      <c r="D179" s="99">
        <v>13640.0</v>
      </c>
    </row>
    <row r="180" ht="15.75" customHeight="1">
      <c r="A180" s="96">
        <v>45606.0</v>
      </c>
      <c r="B180" s="98" t="s">
        <v>213</v>
      </c>
      <c r="C180" s="98" t="s">
        <v>238</v>
      </c>
      <c r="D180" s="99">
        <v>3500.0</v>
      </c>
    </row>
    <row r="181" ht="15.75" customHeight="1">
      <c r="A181" s="96">
        <v>45611.0</v>
      </c>
      <c r="B181" s="98" t="s">
        <v>122</v>
      </c>
      <c r="C181" s="98" t="s">
        <v>239</v>
      </c>
      <c r="D181" s="99">
        <v>650.0</v>
      </c>
    </row>
    <row r="182" ht="15.75" customHeight="1">
      <c r="A182" s="96">
        <v>45618.0</v>
      </c>
      <c r="B182" s="98" t="s">
        <v>122</v>
      </c>
      <c r="C182" s="98" t="s">
        <v>240</v>
      </c>
      <c r="D182" s="99">
        <v>1400.0</v>
      </c>
    </row>
    <row r="183" ht="15.75" customHeight="1">
      <c r="A183" s="96">
        <v>45575.0</v>
      </c>
      <c r="B183" s="98" t="s">
        <v>122</v>
      </c>
      <c r="C183" s="98" t="s">
        <v>241</v>
      </c>
      <c r="D183" s="99">
        <v>200.0</v>
      </c>
    </row>
    <row r="184" ht="15.75" customHeight="1">
      <c r="A184" s="96">
        <v>45639.0</v>
      </c>
      <c r="B184" s="98" t="s">
        <v>213</v>
      </c>
      <c r="C184" s="98" t="s">
        <v>242</v>
      </c>
      <c r="D184" s="99">
        <v>3500.0</v>
      </c>
    </row>
    <row r="185" ht="15.75" customHeight="1">
      <c r="A185" s="96">
        <v>45639.0</v>
      </c>
      <c r="B185" s="98" t="s">
        <v>122</v>
      </c>
      <c r="C185" s="98" t="s">
        <v>174</v>
      </c>
      <c r="D185" s="99">
        <v>200.0</v>
      </c>
    </row>
    <row r="186" ht="15.75" customHeight="1">
      <c r="A186" s="96">
        <v>45644.0</v>
      </c>
      <c r="B186" s="98" t="s">
        <v>122</v>
      </c>
      <c r="C186" s="98" t="s">
        <v>243</v>
      </c>
      <c r="D186" s="99">
        <v>300.0</v>
      </c>
    </row>
    <row r="187" ht="15.75" customHeight="1">
      <c r="A187" s="96">
        <v>45644.0</v>
      </c>
      <c r="B187" s="98" t="s">
        <v>122</v>
      </c>
      <c r="C187" s="98" t="s">
        <v>244</v>
      </c>
      <c r="D187" s="99">
        <v>500.0</v>
      </c>
    </row>
    <row r="188" ht="15.75" customHeight="1">
      <c r="A188" s="96">
        <v>45647.0</v>
      </c>
      <c r="B188" s="98" t="s">
        <v>122</v>
      </c>
      <c r="C188" s="98" t="s">
        <v>245</v>
      </c>
      <c r="D188" s="99">
        <v>2000.0</v>
      </c>
    </row>
    <row r="189" ht="15.75" customHeight="1">
      <c r="A189" s="96">
        <v>45646.0</v>
      </c>
      <c r="B189" s="98" t="s">
        <v>122</v>
      </c>
      <c r="C189" s="98" t="s">
        <v>246</v>
      </c>
      <c r="D189" s="99">
        <v>30000.0</v>
      </c>
    </row>
    <row r="190" ht="15.75" customHeight="1">
      <c r="A190" s="96">
        <v>45627.0</v>
      </c>
      <c r="B190" s="98" t="s">
        <v>120</v>
      </c>
      <c r="C190" s="98" t="s">
        <v>247</v>
      </c>
      <c r="D190" s="99">
        <v>14580.0</v>
      </c>
    </row>
    <row r="191" ht="15.75" customHeight="1">
      <c r="A191" s="96">
        <v>45630.0</v>
      </c>
      <c r="B191" s="98" t="s">
        <v>122</v>
      </c>
      <c r="C191" s="98" t="s">
        <v>248</v>
      </c>
      <c r="D191" s="99">
        <v>4000.0</v>
      </c>
    </row>
    <row r="192" ht="15.75" customHeight="1">
      <c r="A192" s="96">
        <v>45640.0</v>
      </c>
      <c r="B192" s="98" t="s">
        <v>122</v>
      </c>
      <c r="C192" s="98" t="s">
        <v>249</v>
      </c>
      <c r="D192" s="99">
        <v>2050.0</v>
      </c>
    </row>
    <row r="193" ht="15.75" customHeight="1">
      <c r="A193" s="96">
        <v>45650.0</v>
      </c>
      <c r="B193" s="98" t="s">
        <v>120</v>
      </c>
      <c r="C193" s="98" t="s">
        <v>189</v>
      </c>
      <c r="D193" s="99">
        <v>14790.0</v>
      </c>
    </row>
    <row r="194" ht="15.75" customHeight="1">
      <c r="A194" s="96">
        <v>45650.0</v>
      </c>
      <c r="B194" s="98" t="s">
        <v>122</v>
      </c>
      <c r="C194" s="98" t="s">
        <v>250</v>
      </c>
      <c r="D194" s="99">
        <v>1200.0</v>
      </c>
    </row>
    <row r="195" ht="15.75" customHeight="1">
      <c r="A195" s="96">
        <v>45666.0</v>
      </c>
      <c r="B195" s="98" t="s">
        <v>213</v>
      </c>
      <c r="C195" s="98" t="s">
        <v>251</v>
      </c>
      <c r="D195" s="99">
        <v>3500.0</v>
      </c>
    </row>
    <row r="196" ht="15.75" customHeight="1">
      <c r="A196" s="96">
        <v>45681.0</v>
      </c>
      <c r="B196" s="98" t="s">
        <v>120</v>
      </c>
      <c r="C196" s="98" t="s">
        <v>157</v>
      </c>
      <c r="D196" s="99">
        <v>13650.0</v>
      </c>
    </row>
    <row r="197" ht="15.75" customHeight="1">
      <c r="A197" s="96">
        <v>45684.0</v>
      </c>
      <c r="B197" s="98" t="s">
        <v>122</v>
      </c>
      <c r="C197" s="98" t="s">
        <v>170</v>
      </c>
      <c r="D197" s="99">
        <v>200.0</v>
      </c>
    </row>
    <row r="198" ht="15.75" customHeight="1">
      <c r="A198" s="96">
        <v>45684.0</v>
      </c>
      <c r="B198" s="98" t="s">
        <v>122</v>
      </c>
      <c r="C198" s="98" t="s">
        <v>190</v>
      </c>
      <c r="D198" s="99">
        <v>800.0</v>
      </c>
    </row>
    <row r="199" ht="15.75" customHeight="1">
      <c r="A199" s="97">
        <v>45702.0</v>
      </c>
      <c r="B199" s="98" t="s">
        <v>213</v>
      </c>
      <c r="C199" s="98" t="s">
        <v>252</v>
      </c>
      <c r="D199" s="99">
        <v>3500.0</v>
      </c>
    </row>
    <row r="200" ht="15.75" customHeight="1">
      <c r="A200" s="96">
        <v>45718.0</v>
      </c>
      <c r="B200" s="98" t="s">
        <v>120</v>
      </c>
      <c r="C200" s="98" t="s">
        <v>161</v>
      </c>
      <c r="D200" s="99">
        <v>13430.0</v>
      </c>
    </row>
    <row r="201" ht="15.75" customHeight="1">
      <c r="A201" s="96">
        <v>45718.0</v>
      </c>
      <c r="B201" s="98" t="s">
        <v>122</v>
      </c>
      <c r="C201" s="98" t="s">
        <v>253</v>
      </c>
      <c r="D201" s="99">
        <v>600.0</v>
      </c>
    </row>
    <row r="202" ht="15.75" customHeight="1">
      <c r="A202" s="96">
        <v>45722.0</v>
      </c>
      <c r="B202" s="98" t="s">
        <v>213</v>
      </c>
      <c r="C202" s="98" t="s">
        <v>254</v>
      </c>
      <c r="D202" s="99">
        <v>3500.0</v>
      </c>
    </row>
    <row r="203" ht="15.75" customHeight="1">
      <c r="A203" s="96">
        <v>45751.0</v>
      </c>
      <c r="B203" s="98" t="s">
        <v>120</v>
      </c>
      <c r="C203" s="98" t="s">
        <v>163</v>
      </c>
      <c r="D203" s="99">
        <v>11810.0</v>
      </c>
    </row>
    <row r="204" ht="15.75" customHeight="1">
      <c r="A204" s="96">
        <v>45785.0</v>
      </c>
      <c r="B204" s="98" t="s">
        <v>120</v>
      </c>
      <c r="C204" s="98" t="s">
        <v>166</v>
      </c>
      <c r="D204" s="99">
        <v>13000.0</v>
      </c>
    </row>
    <row r="205" ht="15.75" customHeight="1">
      <c r="A205" s="96">
        <v>45766.0</v>
      </c>
      <c r="B205" s="98" t="s">
        <v>122</v>
      </c>
      <c r="C205" s="98" t="s">
        <v>255</v>
      </c>
      <c r="D205" s="99">
        <v>9000.0</v>
      </c>
    </row>
    <row r="206" ht="15.75" customHeight="1">
      <c r="A206" s="96">
        <v>45802.0</v>
      </c>
      <c r="B206" s="98" t="s">
        <v>120</v>
      </c>
      <c r="C206" s="98" t="s">
        <v>126</v>
      </c>
      <c r="D206" s="99">
        <v>11230.0</v>
      </c>
    </row>
    <row r="207" ht="15.75" customHeight="1">
      <c r="A207" s="96">
        <v>45757.0</v>
      </c>
      <c r="B207" s="98" t="s">
        <v>122</v>
      </c>
      <c r="C207" s="98" t="s">
        <v>174</v>
      </c>
      <c r="D207" s="99">
        <v>200.0</v>
      </c>
    </row>
    <row r="208" ht="15.75" customHeight="1">
      <c r="A208" s="96">
        <v>45759.0</v>
      </c>
      <c r="B208" s="98" t="s">
        <v>213</v>
      </c>
      <c r="C208" s="98" t="s">
        <v>256</v>
      </c>
      <c r="D208" s="99">
        <v>3500.0</v>
      </c>
    </row>
    <row r="209" ht="15.75" customHeight="1">
      <c r="A209" s="96">
        <v>45775.0</v>
      </c>
      <c r="B209" s="98" t="s">
        <v>122</v>
      </c>
      <c r="C209" s="98" t="s">
        <v>190</v>
      </c>
      <c r="D209" s="99">
        <v>800.0</v>
      </c>
    </row>
    <row r="210" ht="15.75" customHeight="1">
      <c r="A210" s="96">
        <v>45787.0</v>
      </c>
      <c r="B210" s="98" t="s">
        <v>213</v>
      </c>
      <c r="C210" s="98" t="s">
        <v>257</v>
      </c>
      <c r="D210" s="99">
        <v>4500.0</v>
      </c>
    </row>
    <row r="211" ht="15.75" customHeight="1">
      <c r="A211" s="96">
        <v>45808.0</v>
      </c>
      <c r="B211" s="98" t="s">
        <v>122</v>
      </c>
      <c r="C211" s="98" t="s">
        <v>174</v>
      </c>
      <c r="D211" s="99">
        <v>200.0</v>
      </c>
    </row>
    <row r="212" ht="15.75" customHeight="1">
      <c r="A212" s="96">
        <v>45815.0</v>
      </c>
      <c r="B212" s="98" t="s">
        <v>213</v>
      </c>
      <c r="C212" s="98" t="s">
        <v>258</v>
      </c>
      <c r="D212" s="99">
        <v>4500.0</v>
      </c>
    </row>
    <row r="213" ht="15.75" customHeight="1">
      <c r="A213" s="96">
        <v>45831.0</v>
      </c>
      <c r="B213" s="98" t="s">
        <v>120</v>
      </c>
      <c r="C213" s="98" t="s">
        <v>259</v>
      </c>
      <c r="D213" s="99">
        <v>11010.0</v>
      </c>
    </row>
    <row r="214" ht="15.75" customHeight="1">
      <c r="A214" s="96">
        <v>45878.0</v>
      </c>
      <c r="B214" s="98" t="s">
        <v>120</v>
      </c>
      <c r="C214" s="98" t="s">
        <v>260</v>
      </c>
      <c r="D214" s="99">
        <v>11520.0</v>
      </c>
    </row>
    <row r="215" ht="15.75" customHeight="1">
      <c r="A215" s="96">
        <v>45893.0</v>
      </c>
      <c r="B215" s="98" t="s">
        <v>120</v>
      </c>
      <c r="C215" s="98" t="s">
        <v>177</v>
      </c>
      <c r="D215" s="99">
        <v>12820.0</v>
      </c>
    </row>
    <row r="216" ht="15.75" customHeight="1">
      <c r="A216" s="96">
        <v>45923.0</v>
      </c>
      <c r="B216" s="98" t="s">
        <v>120</v>
      </c>
      <c r="C216" s="98" t="s">
        <v>261</v>
      </c>
      <c r="D216" s="99">
        <v>13010.0</v>
      </c>
    </row>
    <row r="217" ht="15.75" customHeight="1">
      <c r="A217" s="96">
        <v>45848.0</v>
      </c>
      <c r="B217" s="98" t="s">
        <v>213</v>
      </c>
      <c r="C217" s="98" t="s">
        <v>171</v>
      </c>
      <c r="D217" s="99">
        <v>4500.0</v>
      </c>
    </row>
    <row r="218" ht="15.75" customHeight="1">
      <c r="A218" s="96">
        <v>45852.0</v>
      </c>
      <c r="B218" s="98" t="s">
        <v>122</v>
      </c>
      <c r="C218" s="98" t="s">
        <v>262</v>
      </c>
      <c r="D218" s="99">
        <v>800.0</v>
      </c>
    </row>
    <row r="219" ht="15.75" customHeight="1">
      <c r="A219" s="96">
        <v>45875.0</v>
      </c>
      <c r="B219" s="98" t="s">
        <v>213</v>
      </c>
      <c r="C219" s="98" t="s">
        <v>171</v>
      </c>
      <c r="D219" s="99">
        <v>4500.0</v>
      </c>
    </row>
    <row r="220" ht="15.75" customHeight="1">
      <c r="A220" s="96">
        <v>45891.0</v>
      </c>
      <c r="B220" s="98" t="s">
        <v>122</v>
      </c>
      <c r="C220" s="98" t="s">
        <v>190</v>
      </c>
      <c r="D220" s="99">
        <v>900.0</v>
      </c>
    </row>
    <row r="221" ht="15.75" customHeight="1">
      <c r="A221" s="96">
        <v>45906.0</v>
      </c>
      <c r="B221" s="98" t="s">
        <v>213</v>
      </c>
      <c r="C221" s="98" t="s">
        <v>171</v>
      </c>
      <c r="D221" s="99">
        <v>4500.0</v>
      </c>
    </row>
    <row r="222" ht="15.75" customHeight="1">
      <c r="A222" s="96">
        <v>45929.0</v>
      </c>
      <c r="B222" s="98" t="s">
        <v>122</v>
      </c>
      <c r="C222" s="98" t="s">
        <v>263</v>
      </c>
      <c r="D222" s="99">
        <v>3500.0</v>
      </c>
    </row>
    <row r="223" ht="15.75" customHeight="1">
      <c r="A223" s="96">
        <v>45932.0</v>
      </c>
      <c r="B223" s="98" t="s">
        <v>122</v>
      </c>
      <c r="C223" s="98" t="s">
        <v>212</v>
      </c>
      <c r="D223" s="99">
        <v>400.0</v>
      </c>
    </row>
    <row r="224" ht="15.75" customHeight="1">
      <c r="A224" s="96">
        <v>45941.0</v>
      </c>
      <c r="B224" s="98" t="s">
        <v>213</v>
      </c>
      <c r="C224" s="98" t="s">
        <v>171</v>
      </c>
      <c r="D224" s="99">
        <v>4500.0</v>
      </c>
    </row>
    <row r="225" ht="15.75" customHeight="1">
      <c r="A225" s="96">
        <v>45949.0</v>
      </c>
      <c r="B225" s="98" t="s">
        <v>122</v>
      </c>
      <c r="C225" s="98" t="s">
        <v>174</v>
      </c>
      <c r="D225" s="99">
        <v>200.0</v>
      </c>
    </row>
    <row r="226" ht="15.75" customHeight="1">
      <c r="A226" s="96">
        <v>45961.0</v>
      </c>
      <c r="B226" s="98" t="s">
        <v>122</v>
      </c>
      <c r="C226" s="98" t="s">
        <v>236</v>
      </c>
      <c r="D226" s="99">
        <v>300.0</v>
      </c>
    </row>
    <row r="227" ht="15.75" customHeight="1">
      <c r="A227" s="96">
        <v>45962.0</v>
      </c>
      <c r="B227" s="98" t="s">
        <v>120</v>
      </c>
      <c r="C227" s="98" t="s">
        <v>150</v>
      </c>
      <c r="D227" s="99">
        <v>13930.0</v>
      </c>
    </row>
    <row r="228" ht="15.75" customHeight="1">
      <c r="A228" s="96">
        <v>45965.0</v>
      </c>
      <c r="B228" s="98" t="s">
        <v>213</v>
      </c>
      <c r="C228" s="98" t="s">
        <v>171</v>
      </c>
      <c r="D228" s="99">
        <v>4500.0</v>
      </c>
    </row>
    <row r="229" ht="15.75" customHeight="1">
      <c r="A229" s="96">
        <v>45997.0</v>
      </c>
      <c r="B229" s="98" t="s">
        <v>213</v>
      </c>
      <c r="C229" s="98" t="s">
        <v>171</v>
      </c>
      <c r="D229" s="99">
        <v>4500.0</v>
      </c>
    </row>
    <row r="230" ht="15.75" customHeight="1">
      <c r="A230" s="96">
        <v>46023.0</v>
      </c>
      <c r="B230" s="98" t="s">
        <v>122</v>
      </c>
      <c r="C230" s="98" t="s">
        <v>174</v>
      </c>
      <c r="D230" s="99">
        <v>200.0</v>
      </c>
    </row>
    <row r="231" ht="15.75" customHeight="1">
      <c r="A231" s="96">
        <v>46034.0</v>
      </c>
      <c r="B231" s="98" t="s">
        <v>213</v>
      </c>
      <c r="C231" s="98" t="s">
        <v>171</v>
      </c>
      <c r="D231" s="99">
        <v>4500.0</v>
      </c>
    </row>
    <row r="232" ht="15.75" customHeight="1">
      <c r="A232" s="96">
        <v>46045.0</v>
      </c>
      <c r="B232" s="98" t="s">
        <v>122</v>
      </c>
      <c r="C232" s="98" t="s">
        <v>200</v>
      </c>
      <c r="D232" s="99">
        <v>200.0</v>
      </c>
    </row>
    <row r="233" ht="15.75" customHeight="1">
      <c r="A233" s="96">
        <v>46045.0</v>
      </c>
      <c r="B233" s="98" t="s">
        <v>122</v>
      </c>
      <c r="C233" s="98" t="s">
        <v>221</v>
      </c>
      <c r="D233" s="99">
        <v>7000.0</v>
      </c>
    </row>
    <row r="234" ht="15.75" customHeight="1">
      <c r="A234" s="96">
        <v>45988.0</v>
      </c>
      <c r="B234" s="98" t="s">
        <v>120</v>
      </c>
      <c r="C234" s="98" t="s">
        <v>247</v>
      </c>
      <c r="D234" s="99">
        <v>15680.0</v>
      </c>
    </row>
    <row r="235" ht="15.75" customHeight="1">
      <c r="A235" s="96">
        <v>46015.0</v>
      </c>
      <c r="B235" s="98" t="s">
        <v>120</v>
      </c>
      <c r="C235" s="98" t="s">
        <v>189</v>
      </c>
      <c r="D235" s="99">
        <v>14770.0</v>
      </c>
    </row>
    <row r="236" ht="15.75" customHeight="1">
      <c r="A236" s="96">
        <v>46058.0</v>
      </c>
      <c r="B236" s="98" t="s">
        <v>213</v>
      </c>
      <c r="C236" s="98" t="s">
        <v>171</v>
      </c>
      <c r="D236" s="99">
        <v>4500.0</v>
      </c>
    </row>
    <row r="237" ht="15.75" customHeight="1">
      <c r="A237" s="96">
        <v>45693.0</v>
      </c>
      <c r="B237" s="98" t="s">
        <v>120</v>
      </c>
      <c r="C237" s="98" t="s">
        <v>157</v>
      </c>
      <c r="D237" s="99">
        <v>15720.0</v>
      </c>
    </row>
    <row r="238" ht="15.75" customHeight="1">
      <c r="A238" s="96">
        <v>46074.0</v>
      </c>
      <c r="B238" s="98" t="s">
        <v>120</v>
      </c>
      <c r="C238" s="98" t="s">
        <v>161</v>
      </c>
      <c r="D238" s="99">
        <v>15990.0</v>
      </c>
    </row>
    <row r="239" ht="15.75" customHeight="1">
      <c r="A239" s="96">
        <v>46082.0</v>
      </c>
      <c r="B239" s="98" t="s">
        <v>120</v>
      </c>
      <c r="C239" s="98" t="s">
        <v>264</v>
      </c>
      <c r="D239" s="99">
        <v>15990.0</v>
      </c>
    </row>
    <row r="240" ht="15.75" customHeight="1">
      <c r="A240" s="96">
        <v>46088.0</v>
      </c>
      <c r="B240" s="98" t="s">
        <v>213</v>
      </c>
      <c r="C240" s="98" t="s">
        <v>171</v>
      </c>
      <c r="D240" s="99">
        <v>4500.0</v>
      </c>
    </row>
    <row r="241" ht="15.75" customHeight="1">
      <c r="A241" s="96">
        <v>46113.0</v>
      </c>
      <c r="B241" s="98" t="s">
        <v>122</v>
      </c>
      <c r="C241" s="98" t="s">
        <v>174</v>
      </c>
      <c r="D241" s="99">
        <v>200.0</v>
      </c>
    </row>
    <row r="242" ht="15.75" customHeight="1">
      <c r="A242" s="96">
        <v>46113.0</v>
      </c>
      <c r="B242" s="98" t="s">
        <v>122</v>
      </c>
      <c r="C242" s="98" t="s">
        <v>265</v>
      </c>
      <c r="D242" s="99">
        <v>2000.0</v>
      </c>
    </row>
    <row r="243" ht="15.75" customHeight="1">
      <c r="A243" s="96">
        <v>46116.0</v>
      </c>
      <c r="B243" s="98" t="s">
        <v>122</v>
      </c>
      <c r="C243" s="98" t="s">
        <v>262</v>
      </c>
      <c r="D243" s="99">
        <v>950.0</v>
      </c>
    </row>
    <row r="244" ht="15.75" customHeight="1">
      <c r="A244" s="96">
        <v>46117.0</v>
      </c>
      <c r="B244" s="98" t="s">
        <v>122</v>
      </c>
      <c r="C244" s="98" t="s">
        <v>266</v>
      </c>
      <c r="D244" s="99">
        <v>196225.0</v>
      </c>
    </row>
    <row r="245" ht="15.75" customHeight="1">
      <c r="A245" s="96">
        <v>46136.0</v>
      </c>
      <c r="B245" s="98" t="s">
        <v>120</v>
      </c>
      <c r="C245" s="98" t="s">
        <v>267</v>
      </c>
      <c r="D245" s="99">
        <v>13500.0</v>
      </c>
    </row>
    <row r="246" ht="15.75" customHeight="1">
      <c r="A246" s="96">
        <v>46118.0</v>
      </c>
      <c r="B246" s="98" t="s">
        <v>122</v>
      </c>
      <c r="C246" s="98" t="s">
        <v>171</v>
      </c>
      <c r="D246" s="99">
        <v>4500.0</v>
      </c>
    </row>
    <row r="247" ht="15.75" customHeight="1">
      <c r="A247" s="96">
        <v>46142.0</v>
      </c>
      <c r="B247" s="98" t="s">
        <v>122</v>
      </c>
      <c r="C247" s="98" t="s">
        <v>268</v>
      </c>
      <c r="D247" s="99">
        <v>17000.0</v>
      </c>
    </row>
    <row r="248" ht="15.75" customHeight="1">
      <c r="A248" s="96">
        <v>46149.0</v>
      </c>
      <c r="B248" s="98" t="s">
        <v>213</v>
      </c>
      <c r="C248" s="98" t="s">
        <v>171</v>
      </c>
      <c r="D248" s="99">
        <v>4500.0</v>
      </c>
    </row>
    <row r="249" ht="15.75" customHeight="1">
      <c r="A249" s="96"/>
      <c r="B249" s="98"/>
      <c r="C249" s="98"/>
      <c r="D249" s="99"/>
    </row>
    <row r="250" ht="15.75" customHeight="1">
      <c r="A250" s="96"/>
      <c r="B250" s="98"/>
      <c r="C250" s="98"/>
      <c r="D250" s="99"/>
    </row>
    <row r="251" ht="15.75" customHeight="1">
      <c r="A251" s="96"/>
      <c r="B251" s="98"/>
      <c r="C251" s="98"/>
      <c r="D251" s="99"/>
    </row>
    <row r="252" ht="15.75" customHeight="1">
      <c r="A252" s="96"/>
      <c r="B252" s="98"/>
      <c r="C252" s="98"/>
      <c r="D252" s="99"/>
    </row>
    <row r="253" ht="15.75" customHeight="1">
      <c r="A253" s="96"/>
      <c r="B253" s="98"/>
      <c r="C253" s="98"/>
      <c r="D253" s="99"/>
    </row>
    <row r="254" ht="15.75" customHeight="1">
      <c r="A254" s="96"/>
      <c r="B254" s="98"/>
      <c r="C254" s="98"/>
      <c r="D254" s="99"/>
    </row>
    <row r="255" ht="15.75" customHeight="1">
      <c r="A255" s="96"/>
      <c r="B255" s="98"/>
      <c r="C255" s="98"/>
      <c r="D255" s="99"/>
    </row>
    <row r="256" ht="15.75" customHeight="1">
      <c r="A256" s="96"/>
      <c r="B256" s="98"/>
      <c r="C256" s="98"/>
      <c r="D256" s="99"/>
    </row>
    <row r="257" ht="15.75" customHeight="1">
      <c r="A257" s="96"/>
      <c r="B257" s="98"/>
      <c r="C257" s="98"/>
      <c r="D257" s="99"/>
    </row>
    <row r="258" ht="15.75" customHeight="1">
      <c r="A258" s="96"/>
      <c r="B258" s="98"/>
      <c r="C258" s="98"/>
      <c r="D258" s="99"/>
    </row>
    <row r="259" ht="15.75" customHeight="1">
      <c r="A259" s="96"/>
      <c r="B259" s="98"/>
      <c r="C259" s="98"/>
      <c r="D259" s="99"/>
    </row>
    <row r="260" ht="15.75" customHeight="1">
      <c r="A260" s="96"/>
      <c r="B260" s="98"/>
      <c r="C260" s="98"/>
      <c r="D260" s="99"/>
    </row>
    <row r="261" ht="15.75" customHeight="1">
      <c r="A261" s="96"/>
      <c r="B261" s="98"/>
      <c r="C261" s="98"/>
      <c r="D261" s="99"/>
    </row>
    <row r="262" ht="15.75" customHeight="1">
      <c r="A262" s="96"/>
      <c r="B262" s="98"/>
      <c r="C262" s="98"/>
      <c r="D262" s="99"/>
    </row>
    <row r="263" ht="15.75" customHeight="1">
      <c r="A263" s="96"/>
      <c r="B263" s="98"/>
      <c r="C263" s="98"/>
      <c r="D263" s="99"/>
    </row>
    <row r="264" ht="15.75" customHeight="1">
      <c r="A264" s="96"/>
      <c r="B264" s="98"/>
      <c r="C264" s="98"/>
      <c r="D264" s="99"/>
    </row>
    <row r="265" ht="15.75" customHeight="1">
      <c r="A265" s="96"/>
      <c r="B265" s="98"/>
      <c r="C265" s="98"/>
      <c r="D265" s="99"/>
    </row>
    <row r="266" ht="15.75" customHeight="1">
      <c r="A266" s="96"/>
      <c r="B266" s="98"/>
      <c r="C266" s="98"/>
      <c r="D266" s="99"/>
    </row>
    <row r="267" ht="15.75" customHeight="1">
      <c r="A267" s="96"/>
      <c r="B267" s="98"/>
      <c r="C267" s="98"/>
      <c r="D267" s="99"/>
    </row>
    <row r="268" ht="15.75" customHeight="1">
      <c r="A268" s="96"/>
      <c r="B268" s="98"/>
      <c r="C268" s="98"/>
      <c r="D268" s="99"/>
    </row>
    <row r="269" ht="15.75" customHeight="1">
      <c r="A269" s="96"/>
      <c r="B269" s="98"/>
      <c r="C269" s="98"/>
      <c r="D269" s="99"/>
    </row>
    <row r="270" ht="15.75" customHeight="1">
      <c r="A270" s="96"/>
      <c r="B270" s="98"/>
      <c r="C270" s="98"/>
      <c r="D270" s="99"/>
    </row>
    <row r="271" ht="15.75" customHeight="1">
      <c r="A271" s="96"/>
      <c r="B271" s="98"/>
      <c r="C271" s="98"/>
      <c r="D271" s="99"/>
    </row>
    <row r="272" ht="15.75" customHeight="1">
      <c r="A272" s="96"/>
      <c r="B272" s="98"/>
      <c r="C272" s="98"/>
      <c r="D272" s="99"/>
    </row>
    <row r="273" ht="15.75" customHeight="1">
      <c r="A273" s="96"/>
      <c r="B273" s="98"/>
      <c r="C273" s="98"/>
      <c r="D273" s="99"/>
    </row>
    <row r="274" ht="15.75" customHeight="1">
      <c r="A274" s="96"/>
      <c r="B274" s="98"/>
      <c r="C274" s="98"/>
      <c r="D274" s="99"/>
    </row>
    <row r="275" ht="15.75" customHeight="1">
      <c r="A275" s="96"/>
      <c r="B275" s="98"/>
      <c r="C275" s="98"/>
      <c r="D275" s="99"/>
    </row>
    <row r="276" ht="15.75" customHeight="1">
      <c r="A276" s="43"/>
      <c r="B276" s="43"/>
      <c r="C276" s="105" t="s">
        <v>9</v>
      </c>
      <c r="D276" s="106">
        <f>SUM(D2:D275)</f>
        <v>1202585</v>
      </c>
    </row>
    <row r="277" ht="15.75" customHeight="1">
      <c r="D277" s="107"/>
    </row>
    <row r="278" ht="15.75" customHeight="1">
      <c r="D278" s="107"/>
    </row>
    <row r="279" ht="15.75" customHeight="1">
      <c r="D279" s="107"/>
    </row>
    <row r="280" ht="15.75" customHeight="1">
      <c r="D280" s="107"/>
    </row>
    <row r="281" ht="15.75" customHeight="1">
      <c r="D281" s="107"/>
    </row>
    <row r="282" ht="15.75" customHeight="1">
      <c r="D282" s="107"/>
    </row>
    <row r="283" ht="15.75" customHeight="1">
      <c r="D283" s="107"/>
    </row>
    <row r="284" ht="15.75" customHeight="1">
      <c r="D284" s="107"/>
    </row>
    <row r="285" ht="15.75" customHeight="1">
      <c r="D285" s="107"/>
    </row>
    <row r="286" ht="15.75" customHeight="1">
      <c r="D286" s="107"/>
    </row>
    <row r="287" ht="15.75" customHeight="1">
      <c r="D287" s="107"/>
    </row>
    <row r="288" ht="15.75" customHeight="1">
      <c r="D288" s="107"/>
    </row>
    <row r="289" ht="15.75" customHeight="1">
      <c r="D289" s="107"/>
    </row>
    <row r="290" ht="15.75" customHeight="1">
      <c r="D290" s="107"/>
    </row>
    <row r="291" ht="15.75" customHeight="1">
      <c r="D291" s="107"/>
    </row>
    <row r="292" ht="15.75" customHeight="1">
      <c r="D292" s="107"/>
    </row>
    <row r="293" ht="15.75" customHeight="1">
      <c r="D293" s="107"/>
    </row>
    <row r="294" ht="15.75" customHeight="1">
      <c r="D294" s="107"/>
    </row>
    <row r="295" ht="15.75" customHeight="1">
      <c r="D295" s="107"/>
    </row>
    <row r="296" ht="15.75" customHeight="1">
      <c r="D296" s="107"/>
    </row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</sheetData>
  <autoFilter ref="$C$1:$C$1208"/>
  <printOptions/>
  <pageMargins bottom="0.75" footer="0.0" header="0.0" left="0.7" right="0.7" top="0.75"/>
  <pageSetup fitToHeight="0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7.86"/>
    <col customWidth="1" min="3" max="3" width="43.71"/>
    <col customWidth="1" min="4" max="4" width="15.43"/>
    <col customWidth="1" min="7" max="7" width="45.71"/>
    <col customWidth="1" min="8" max="8" width="23.86"/>
    <col customWidth="1" min="9" max="9" width="23.0"/>
  </cols>
  <sheetData>
    <row r="1">
      <c r="F1" s="108" t="s">
        <v>269</v>
      </c>
    </row>
    <row r="2">
      <c r="B2" s="21" t="s">
        <v>57</v>
      </c>
      <c r="C2" s="21" t="s">
        <v>33</v>
      </c>
      <c r="D2" s="21" t="s">
        <v>34</v>
      </c>
      <c r="F2" s="21" t="s">
        <v>57</v>
      </c>
      <c r="G2" s="21" t="s">
        <v>33</v>
      </c>
      <c r="H2" s="109" t="s">
        <v>34</v>
      </c>
      <c r="I2" s="109" t="s">
        <v>270</v>
      </c>
      <c r="J2" s="109" t="s">
        <v>271</v>
      </c>
      <c r="K2" s="109" t="s">
        <v>272</v>
      </c>
      <c r="L2" s="21" t="s">
        <v>273</v>
      </c>
    </row>
    <row r="3">
      <c r="B3" s="87">
        <v>44808.0</v>
      </c>
      <c r="C3" s="88" t="s">
        <v>274</v>
      </c>
      <c r="D3" s="24">
        <v>30000.0</v>
      </c>
      <c r="F3" s="87">
        <v>45092.0</v>
      </c>
      <c r="G3" s="88" t="s">
        <v>275</v>
      </c>
      <c r="H3" s="86">
        <v>4900.0</v>
      </c>
      <c r="I3" s="88" t="s">
        <v>276</v>
      </c>
      <c r="J3" s="86">
        <v>0.0</v>
      </c>
      <c r="K3" s="88" t="s">
        <v>69</v>
      </c>
      <c r="L3" s="87">
        <v>45437.0</v>
      </c>
    </row>
    <row r="4">
      <c r="B4" s="87">
        <v>44834.0</v>
      </c>
      <c r="C4" s="88" t="s">
        <v>277</v>
      </c>
      <c r="D4" s="86">
        <v>102.0</v>
      </c>
      <c r="F4" s="87">
        <v>45108.0</v>
      </c>
      <c r="G4" s="88" t="s">
        <v>278</v>
      </c>
      <c r="H4" s="86">
        <v>16170.0</v>
      </c>
      <c r="I4" s="88" t="s">
        <v>276</v>
      </c>
      <c r="J4" s="86">
        <v>0.0</v>
      </c>
      <c r="K4" s="88" t="s">
        <v>69</v>
      </c>
      <c r="L4" s="87">
        <v>45437.0</v>
      </c>
    </row>
    <row r="5">
      <c r="B5" s="87">
        <v>44857.0</v>
      </c>
      <c r="C5" s="88" t="s">
        <v>279</v>
      </c>
      <c r="D5" s="86">
        <v>300.0</v>
      </c>
      <c r="F5" s="87">
        <v>45132.0</v>
      </c>
      <c r="G5" s="88" t="s">
        <v>280</v>
      </c>
      <c r="H5" s="86">
        <v>24780.0</v>
      </c>
      <c r="I5" s="88" t="s">
        <v>276</v>
      </c>
      <c r="J5" s="86">
        <v>0.0</v>
      </c>
      <c r="K5" s="88" t="s">
        <v>69</v>
      </c>
      <c r="L5" s="87">
        <v>45437.0</v>
      </c>
    </row>
    <row r="6">
      <c r="B6" s="87">
        <v>44879.0</v>
      </c>
      <c r="C6" s="88" t="s">
        <v>281</v>
      </c>
      <c r="D6" s="86">
        <v>35000.0</v>
      </c>
      <c r="F6" s="87">
        <v>45385.0</v>
      </c>
      <c r="G6" s="88" t="s">
        <v>282</v>
      </c>
      <c r="H6" s="86">
        <v>7875.0</v>
      </c>
      <c r="I6" s="88" t="s">
        <v>276</v>
      </c>
      <c r="J6" s="86">
        <v>0.0</v>
      </c>
      <c r="K6" s="88" t="s">
        <v>69</v>
      </c>
      <c r="L6" s="87">
        <v>45437.0</v>
      </c>
    </row>
    <row r="7">
      <c r="B7" s="87">
        <v>44913.0</v>
      </c>
      <c r="C7" s="88" t="s">
        <v>283</v>
      </c>
      <c r="D7" s="86">
        <v>267.0</v>
      </c>
      <c r="F7" s="87">
        <v>45425.0</v>
      </c>
      <c r="G7" s="88" t="s">
        <v>284</v>
      </c>
      <c r="H7" s="86">
        <v>7920.0</v>
      </c>
      <c r="I7" s="88" t="s">
        <v>276</v>
      </c>
      <c r="J7" s="86">
        <v>0.0</v>
      </c>
      <c r="K7" s="88" t="s">
        <v>69</v>
      </c>
      <c r="L7" s="87">
        <v>45437.0</v>
      </c>
    </row>
    <row r="8">
      <c r="B8" s="87">
        <v>44913.0</v>
      </c>
      <c r="C8" s="88" t="s">
        <v>285</v>
      </c>
      <c r="D8" s="86">
        <v>72000.0</v>
      </c>
      <c r="F8" s="87"/>
      <c r="G8" s="88"/>
      <c r="H8" s="86"/>
      <c r="I8" s="88"/>
      <c r="J8" s="86"/>
      <c r="K8" s="88"/>
      <c r="L8" s="87"/>
    </row>
    <row r="9">
      <c r="B9" s="87">
        <v>44926.0</v>
      </c>
      <c r="C9" s="88" t="s">
        <v>277</v>
      </c>
      <c r="D9" s="86">
        <v>290.0</v>
      </c>
      <c r="F9" s="87"/>
      <c r="G9" s="88"/>
      <c r="H9" s="86"/>
      <c r="I9" s="88"/>
      <c r="J9" s="86"/>
      <c r="K9" s="88"/>
      <c r="L9" s="87"/>
    </row>
    <row r="10">
      <c r="B10" s="87">
        <v>44988.0</v>
      </c>
      <c r="C10" s="88" t="s">
        <v>283</v>
      </c>
      <c r="D10" s="86">
        <v>291.0</v>
      </c>
      <c r="F10" s="87"/>
      <c r="G10" s="88"/>
      <c r="H10" s="86"/>
      <c r="I10" s="88"/>
      <c r="J10" s="86"/>
      <c r="K10" s="88"/>
      <c r="L10" s="87"/>
    </row>
    <row r="11">
      <c r="B11" s="87">
        <v>45016.0</v>
      </c>
      <c r="C11" s="88" t="s">
        <v>277</v>
      </c>
      <c r="D11" s="86">
        <v>415.0</v>
      </c>
      <c r="F11" s="87"/>
      <c r="G11" s="88"/>
      <c r="H11" s="86"/>
      <c r="I11" s="88"/>
      <c r="J11" s="86"/>
      <c r="K11" s="88"/>
      <c r="L11" s="87"/>
    </row>
    <row r="12">
      <c r="B12" s="87">
        <v>45082.0</v>
      </c>
      <c r="C12" s="88" t="s">
        <v>286</v>
      </c>
      <c r="D12" s="86">
        <v>50000.0</v>
      </c>
      <c r="F12" s="87"/>
      <c r="G12" s="88"/>
      <c r="H12" s="86"/>
      <c r="I12" s="88"/>
      <c r="J12" s="86"/>
      <c r="K12" s="88"/>
      <c r="L12" s="87"/>
    </row>
    <row r="13">
      <c r="B13" s="87">
        <v>45107.0</v>
      </c>
      <c r="C13" s="88" t="s">
        <v>277</v>
      </c>
      <c r="D13" s="86">
        <v>348.0</v>
      </c>
      <c r="F13" s="87"/>
      <c r="G13" s="88"/>
      <c r="H13" s="86"/>
      <c r="I13" s="88"/>
      <c r="J13" s="86"/>
      <c r="K13" s="88"/>
      <c r="L13" s="87"/>
    </row>
    <row r="14">
      <c r="B14" s="87">
        <v>45199.0</v>
      </c>
      <c r="C14" s="88" t="s">
        <v>277</v>
      </c>
      <c r="D14" s="86">
        <v>696.0</v>
      </c>
      <c r="F14" s="87"/>
      <c r="G14" s="88"/>
      <c r="H14" s="86"/>
      <c r="I14" s="88"/>
      <c r="J14" s="86"/>
      <c r="K14" s="88"/>
      <c r="L14" s="87"/>
    </row>
    <row r="15">
      <c r="B15" s="87">
        <v>45291.0</v>
      </c>
      <c r="C15" s="88" t="s">
        <v>277</v>
      </c>
      <c r="D15" s="86">
        <v>607.0</v>
      </c>
      <c r="F15" s="87"/>
      <c r="G15" s="88"/>
      <c r="H15" s="86"/>
      <c r="I15" s="88"/>
      <c r="J15" s="86"/>
      <c r="K15" s="88"/>
      <c r="L15" s="87"/>
    </row>
    <row r="16">
      <c r="B16" s="87">
        <v>45382.0</v>
      </c>
      <c r="C16" s="88" t="s">
        <v>277</v>
      </c>
      <c r="D16" s="86">
        <v>495.0</v>
      </c>
      <c r="F16" s="87"/>
      <c r="G16" s="88"/>
      <c r="H16" s="86"/>
      <c r="I16" s="88"/>
      <c r="J16" s="86"/>
      <c r="K16" s="88"/>
      <c r="L16" s="87"/>
    </row>
    <row r="17">
      <c r="B17" s="110">
        <v>45440.0</v>
      </c>
      <c r="C17" s="88" t="s">
        <v>287</v>
      </c>
      <c r="D17" s="86">
        <v>8000.0</v>
      </c>
      <c r="F17" s="87"/>
      <c r="G17" s="88"/>
      <c r="H17" s="86"/>
      <c r="I17" s="88"/>
      <c r="J17" s="86"/>
      <c r="K17" s="88"/>
      <c r="L17" s="87"/>
    </row>
    <row r="18">
      <c r="B18" s="87">
        <v>45467.0</v>
      </c>
      <c r="C18" s="88" t="s">
        <v>288</v>
      </c>
      <c r="D18" s="86">
        <v>50000.0</v>
      </c>
      <c r="F18" s="87"/>
      <c r="G18" s="88"/>
      <c r="H18" s="86"/>
      <c r="I18" s="88"/>
      <c r="J18" s="86"/>
      <c r="K18" s="88"/>
      <c r="L18" s="87"/>
    </row>
    <row r="19">
      <c r="B19" s="87">
        <v>45473.0</v>
      </c>
      <c r="C19" s="88" t="s">
        <v>277</v>
      </c>
      <c r="D19" s="86">
        <v>647.0</v>
      </c>
      <c r="F19" s="87"/>
      <c r="G19" s="88"/>
      <c r="H19" s="86"/>
      <c r="I19" s="88"/>
      <c r="J19" s="86"/>
      <c r="K19" s="88"/>
      <c r="L19" s="87"/>
    </row>
    <row r="20">
      <c r="B20" s="87">
        <v>45565.0</v>
      </c>
      <c r="C20" s="88" t="s">
        <v>277</v>
      </c>
      <c r="D20" s="86">
        <v>660.0</v>
      </c>
      <c r="F20" s="87"/>
      <c r="G20" s="88"/>
      <c r="H20" s="86"/>
      <c r="I20" s="88"/>
      <c r="J20" s="86"/>
      <c r="K20" s="88"/>
      <c r="L20" s="87"/>
    </row>
    <row r="21">
      <c r="B21" s="87">
        <v>45654.0</v>
      </c>
      <c r="C21" s="88" t="s">
        <v>288</v>
      </c>
      <c r="D21" s="86">
        <v>30000.0</v>
      </c>
      <c r="F21" s="87"/>
      <c r="G21" s="88"/>
      <c r="H21" s="86"/>
      <c r="I21" s="88"/>
      <c r="J21" s="86"/>
      <c r="K21" s="88"/>
      <c r="L21" s="87"/>
    </row>
    <row r="22">
      <c r="B22" s="87">
        <v>45657.0</v>
      </c>
      <c r="C22" s="88" t="s">
        <v>277</v>
      </c>
      <c r="D22" s="86">
        <v>330.0</v>
      </c>
      <c r="F22" s="87"/>
      <c r="G22" s="88"/>
      <c r="H22" s="86"/>
      <c r="I22" s="88"/>
      <c r="J22" s="86"/>
      <c r="K22" s="88"/>
      <c r="L22" s="87"/>
    </row>
    <row r="23">
      <c r="B23" s="87">
        <v>45686.0</v>
      </c>
      <c r="C23" s="88" t="s">
        <v>288</v>
      </c>
      <c r="D23" s="86">
        <v>30000.0</v>
      </c>
      <c r="F23" s="87"/>
      <c r="G23" s="88"/>
      <c r="H23" s="86"/>
      <c r="I23" s="88"/>
      <c r="J23" s="86"/>
      <c r="K23" s="88"/>
      <c r="L23" s="87"/>
    </row>
    <row r="24">
      <c r="B24" s="87">
        <v>45701.0</v>
      </c>
      <c r="C24" s="88" t="s">
        <v>288</v>
      </c>
      <c r="D24" s="86">
        <v>30000.0</v>
      </c>
      <c r="F24" s="87"/>
      <c r="G24" s="88"/>
      <c r="H24" s="86"/>
      <c r="I24" s="88"/>
      <c r="J24" s="86"/>
      <c r="K24" s="88"/>
      <c r="L24" s="87"/>
    </row>
    <row r="25">
      <c r="B25" s="87">
        <v>45742.0</v>
      </c>
      <c r="C25" s="88" t="s">
        <v>288</v>
      </c>
      <c r="D25" s="86">
        <v>30000.0</v>
      </c>
      <c r="F25" s="87"/>
      <c r="G25" s="88"/>
      <c r="H25" s="86"/>
      <c r="I25" s="88"/>
      <c r="J25" s="86"/>
      <c r="K25" s="88"/>
      <c r="L25" s="87"/>
    </row>
    <row r="26">
      <c r="B26" s="87">
        <v>45747.0</v>
      </c>
      <c r="C26" s="88" t="s">
        <v>277</v>
      </c>
      <c r="D26" s="86">
        <v>401.0</v>
      </c>
      <c r="F26" s="87"/>
      <c r="G26" s="88"/>
      <c r="H26" s="86"/>
      <c r="I26" s="88"/>
      <c r="J26" s="86"/>
      <c r="K26" s="88"/>
      <c r="L26" s="87"/>
    </row>
    <row r="27">
      <c r="B27" s="87">
        <v>45777.0</v>
      </c>
      <c r="C27" s="88" t="s">
        <v>288</v>
      </c>
      <c r="D27" s="86">
        <v>30000.0</v>
      </c>
      <c r="F27" s="87"/>
      <c r="G27" s="88"/>
      <c r="H27" s="86"/>
      <c r="I27" s="88"/>
      <c r="J27" s="86"/>
      <c r="K27" s="88"/>
      <c r="L27" s="87"/>
    </row>
    <row r="28">
      <c r="B28" s="87">
        <v>45838.0</v>
      </c>
      <c r="C28" s="88" t="s">
        <v>288</v>
      </c>
      <c r="D28" s="86">
        <v>30000.0</v>
      </c>
      <c r="I28" s="88"/>
      <c r="J28" s="86"/>
    </row>
    <row r="29">
      <c r="B29" s="87">
        <v>45838.0</v>
      </c>
      <c r="C29" s="88" t="s">
        <v>277</v>
      </c>
      <c r="D29" s="86">
        <v>672.0</v>
      </c>
      <c r="I29" s="88"/>
      <c r="J29" s="86"/>
    </row>
    <row r="30">
      <c r="B30" s="87">
        <v>45897.0</v>
      </c>
      <c r="C30" s="88" t="s">
        <v>289</v>
      </c>
      <c r="D30" s="86">
        <v>20.0</v>
      </c>
      <c r="I30" s="88"/>
      <c r="J30" s="86"/>
    </row>
    <row r="31">
      <c r="B31" s="87">
        <v>45930.0</v>
      </c>
      <c r="C31" s="88" t="s">
        <v>277</v>
      </c>
      <c r="D31" s="86">
        <v>673.0</v>
      </c>
      <c r="I31" s="88"/>
      <c r="J31" s="86"/>
    </row>
    <row r="32">
      <c r="B32" s="111">
        <v>46022.0</v>
      </c>
      <c r="C32" s="88" t="s">
        <v>277</v>
      </c>
      <c r="D32" s="86">
        <v>461.0</v>
      </c>
      <c r="I32" s="88"/>
      <c r="J32" s="86"/>
    </row>
    <row r="33">
      <c r="B33" s="87">
        <v>46112.0</v>
      </c>
      <c r="C33" s="88" t="s">
        <v>277</v>
      </c>
      <c r="D33" s="86">
        <v>193.0</v>
      </c>
      <c r="I33" s="88"/>
      <c r="J33" s="86"/>
    </row>
    <row r="34">
      <c r="B34" s="87"/>
      <c r="C34" s="88"/>
      <c r="D34" s="24"/>
      <c r="I34" s="88"/>
      <c r="J34" s="86"/>
    </row>
    <row r="35">
      <c r="B35" s="87"/>
      <c r="C35" s="88"/>
      <c r="D35" s="24"/>
      <c r="I35" s="88"/>
      <c r="J35" s="86"/>
    </row>
    <row r="36">
      <c r="C36" s="88" t="s">
        <v>9</v>
      </c>
      <c r="D36" s="24">
        <f>SUM(D3:D35)</f>
        <v>432868</v>
      </c>
      <c r="I36" s="88" t="s">
        <v>9</v>
      </c>
      <c r="J36" s="86">
        <f>SUMIF(K3:K27,"Unpaid",J3:J27)</f>
        <v>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5.57"/>
    <col customWidth="1" min="2" max="2" width="16.29"/>
    <col customWidth="1" min="3" max="3" width="26.57"/>
    <col customWidth="1" min="4" max="4" width="23.71"/>
    <col customWidth="1" min="5" max="5" width="15.29"/>
  </cols>
  <sheetData>
    <row r="1">
      <c r="A1" s="70" t="s">
        <v>66</v>
      </c>
      <c r="C1" s="71"/>
    </row>
    <row r="2">
      <c r="A2" s="45" t="s">
        <v>56</v>
      </c>
      <c r="B2" s="45" t="s">
        <v>57</v>
      </c>
      <c r="C2" s="72" t="s">
        <v>67</v>
      </c>
      <c r="D2" s="72" t="s">
        <v>68</v>
      </c>
      <c r="E2" s="72" t="s">
        <v>69</v>
      </c>
      <c r="F2" s="45" t="s">
        <v>70</v>
      </c>
    </row>
    <row r="3">
      <c r="A3" s="68">
        <v>205.0</v>
      </c>
      <c r="B3" s="64">
        <v>45375.0</v>
      </c>
      <c r="C3" s="65">
        <v>3000.0</v>
      </c>
      <c r="D3" s="65">
        <v>2640.0</v>
      </c>
      <c r="E3" s="65">
        <f t="shared" ref="E3:E18" si="1">SUM(C3,D3)</f>
        <v>5640</v>
      </c>
      <c r="F3" s="65">
        <v>0.0</v>
      </c>
    </row>
    <row r="4">
      <c r="A4" s="68">
        <v>204.0</v>
      </c>
      <c r="B4" s="64">
        <v>45375.0</v>
      </c>
      <c r="C4" s="65">
        <v>4200.0</v>
      </c>
      <c r="D4" s="65">
        <v>2400.0</v>
      </c>
      <c r="E4" s="65">
        <f t="shared" si="1"/>
        <v>6600</v>
      </c>
      <c r="F4" s="65">
        <v>0.0</v>
      </c>
    </row>
    <row r="5">
      <c r="A5" s="68">
        <v>301.0</v>
      </c>
      <c r="B5" s="64">
        <v>45375.0</v>
      </c>
      <c r="C5" s="65">
        <v>2625.0</v>
      </c>
      <c r="D5" s="65">
        <v>2640.0</v>
      </c>
      <c r="E5" s="65">
        <f t="shared" si="1"/>
        <v>5265</v>
      </c>
      <c r="F5" s="65">
        <v>0.0</v>
      </c>
    </row>
    <row r="6">
      <c r="A6" s="68">
        <v>201.0</v>
      </c>
      <c r="B6" s="64">
        <v>45375.0</v>
      </c>
      <c r="C6" s="65">
        <v>2625.0</v>
      </c>
      <c r="D6" s="65">
        <v>2640.0</v>
      </c>
      <c r="E6" s="65">
        <f t="shared" si="1"/>
        <v>5265</v>
      </c>
      <c r="F6" s="65">
        <v>5000.0</v>
      </c>
    </row>
    <row r="7">
      <c r="A7" s="68">
        <v>402.0</v>
      </c>
      <c r="B7" s="64">
        <v>45375.0</v>
      </c>
      <c r="C7" s="65">
        <v>5812.0</v>
      </c>
      <c r="D7" s="65">
        <v>2640.0</v>
      </c>
      <c r="E7" s="65">
        <f t="shared" si="1"/>
        <v>8452</v>
      </c>
      <c r="F7" s="65">
        <v>0.0</v>
      </c>
    </row>
    <row r="8">
      <c r="A8" s="68">
        <v>302.0</v>
      </c>
      <c r="B8" s="64">
        <v>45375.0</v>
      </c>
      <c r="C8" s="65">
        <v>5812.0</v>
      </c>
      <c r="D8" s="65">
        <v>2640.0</v>
      </c>
      <c r="E8" s="65">
        <f t="shared" si="1"/>
        <v>8452</v>
      </c>
      <c r="F8" s="65">
        <v>0.0</v>
      </c>
    </row>
    <row r="9">
      <c r="A9" s="68">
        <v>303.0</v>
      </c>
      <c r="B9" s="64">
        <v>45375.0</v>
      </c>
      <c r="C9" s="65">
        <v>4125.0</v>
      </c>
      <c r="D9" s="65">
        <v>2640.0</v>
      </c>
      <c r="E9" s="65">
        <f t="shared" si="1"/>
        <v>6765</v>
      </c>
      <c r="F9" s="65">
        <v>0.0</v>
      </c>
    </row>
    <row r="10">
      <c r="A10" s="68">
        <v>405.0</v>
      </c>
      <c r="B10" s="64">
        <v>45375.0</v>
      </c>
      <c r="C10" s="65">
        <v>3000.0</v>
      </c>
      <c r="D10" s="65">
        <v>2640.0</v>
      </c>
      <c r="E10" s="65">
        <f t="shared" si="1"/>
        <v>5640</v>
      </c>
      <c r="F10" s="65">
        <v>0.0</v>
      </c>
    </row>
    <row r="11">
      <c r="A11" s="68">
        <v>106.0</v>
      </c>
      <c r="B11" s="64">
        <v>45375.0</v>
      </c>
      <c r="C11" s="65">
        <v>4275.0</v>
      </c>
      <c r="D11" s="65">
        <v>2640.0</v>
      </c>
      <c r="E11" s="65">
        <f t="shared" si="1"/>
        <v>6915</v>
      </c>
      <c r="F11" s="65">
        <v>0.0</v>
      </c>
    </row>
    <row r="12">
      <c r="A12" s="68">
        <v>107.0</v>
      </c>
      <c r="B12" s="64">
        <v>45375.0</v>
      </c>
      <c r="C12" s="65">
        <v>4125.0</v>
      </c>
      <c r="D12" s="65">
        <v>2640.0</v>
      </c>
      <c r="E12" s="65">
        <f t="shared" si="1"/>
        <v>6765</v>
      </c>
      <c r="F12" s="65">
        <v>0.0</v>
      </c>
    </row>
    <row r="13">
      <c r="A13" s="68">
        <v>403.0</v>
      </c>
      <c r="B13" s="64">
        <v>45375.0</v>
      </c>
      <c r="C13" s="65">
        <v>4125.0</v>
      </c>
      <c r="D13" s="65">
        <v>2640.0</v>
      </c>
      <c r="E13" s="65">
        <f t="shared" si="1"/>
        <v>6765</v>
      </c>
      <c r="F13" s="65">
        <v>0.0</v>
      </c>
    </row>
    <row r="14">
      <c r="A14" s="68">
        <v>404.0</v>
      </c>
      <c r="B14" s="64">
        <v>45375.0</v>
      </c>
      <c r="C14" s="65">
        <v>4200.0</v>
      </c>
      <c r="D14" s="65">
        <v>2640.0</v>
      </c>
      <c r="E14" s="65">
        <f t="shared" si="1"/>
        <v>6840</v>
      </c>
      <c r="F14" s="65">
        <v>0.0</v>
      </c>
    </row>
    <row r="15">
      <c r="A15" s="68">
        <v>504.0</v>
      </c>
      <c r="B15" s="64">
        <v>45375.0</v>
      </c>
      <c r="C15" s="65">
        <v>4200.0</v>
      </c>
      <c r="D15" s="65">
        <v>2640.0</v>
      </c>
      <c r="E15" s="65">
        <f t="shared" si="1"/>
        <v>6840</v>
      </c>
      <c r="F15" s="65">
        <v>0.0</v>
      </c>
    </row>
    <row r="16">
      <c r="A16" s="68">
        <v>507.0</v>
      </c>
      <c r="B16" s="64">
        <v>45375.0</v>
      </c>
      <c r="C16" s="65">
        <v>4125.0</v>
      </c>
      <c r="D16" s="65">
        <v>2640.0</v>
      </c>
      <c r="E16" s="65">
        <f t="shared" si="1"/>
        <v>6765</v>
      </c>
      <c r="F16" s="65">
        <v>0.0</v>
      </c>
    </row>
    <row r="17">
      <c r="A17" s="68">
        <v>1.0</v>
      </c>
      <c r="B17" s="64">
        <v>45375.0</v>
      </c>
      <c r="C17" s="65">
        <v>2625.0</v>
      </c>
      <c r="D17" s="65">
        <v>0.0</v>
      </c>
      <c r="E17" s="65">
        <f t="shared" si="1"/>
        <v>2625</v>
      </c>
      <c r="F17" s="65">
        <v>0.0</v>
      </c>
    </row>
    <row r="18">
      <c r="A18" s="68" t="s">
        <v>71</v>
      </c>
      <c r="B18" s="64">
        <v>45375.0</v>
      </c>
      <c r="C18" s="65">
        <v>10500.0</v>
      </c>
      <c r="D18" s="65">
        <v>0.0</v>
      </c>
      <c r="E18" s="65">
        <f t="shared" si="1"/>
        <v>10500</v>
      </c>
      <c r="F18" s="65">
        <v>0.0</v>
      </c>
    </row>
  </sheetData>
  <mergeCells count="1">
    <mergeCell ref="A1:B1"/>
  </mergeCells>
  <printOptions/>
  <pageMargins bottom="0.75" footer="0.0" header="0.0" left="0.7" right="0.7" top="0.75"/>
  <pageSetup fitToWidth="0" paperSize="9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22.0"/>
    <col customWidth="1" min="2" max="21" width="17.71"/>
    <col customWidth="1" min="22" max="31" width="8.71"/>
  </cols>
  <sheetData>
    <row r="1">
      <c r="A1" s="4" t="s">
        <v>25</v>
      </c>
      <c r="B1" s="112"/>
      <c r="C1" s="14"/>
      <c r="D1" s="14"/>
      <c r="E1" s="14"/>
      <c r="F1" s="14"/>
      <c r="G1" s="14"/>
      <c r="H1" s="14"/>
      <c r="I1" s="15"/>
    </row>
    <row r="2">
      <c r="A2" s="16" t="s">
        <v>26</v>
      </c>
      <c r="B2" s="113"/>
      <c r="C2" s="17"/>
      <c r="D2" s="17"/>
      <c r="E2" s="17"/>
      <c r="F2" s="17"/>
      <c r="G2" s="17"/>
      <c r="H2" s="17"/>
      <c r="I2" s="18"/>
    </row>
    <row r="3">
      <c r="A3" s="19" t="s">
        <v>27</v>
      </c>
      <c r="B3" s="114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</row>
    <row r="4">
      <c r="A4" s="21" t="s">
        <v>28</v>
      </c>
      <c r="B4" s="115">
        <v>101.0</v>
      </c>
      <c r="C4" s="22">
        <v>102.0</v>
      </c>
      <c r="D4" s="22">
        <v>201.0</v>
      </c>
      <c r="E4" s="22">
        <v>203.0</v>
      </c>
      <c r="F4" s="22">
        <v>204.0</v>
      </c>
      <c r="G4" s="22">
        <v>205.0</v>
      </c>
      <c r="H4" s="22">
        <v>207.0</v>
      </c>
      <c r="I4" s="22">
        <v>301.0</v>
      </c>
      <c r="J4" s="22">
        <v>302.0</v>
      </c>
      <c r="K4" s="22">
        <v>303.0</v>
      </c>
      <c r="L4" s="22">
        <v>306.0</v>
      </c>
      <c r="M4" s="22">
        <v>307.0</v>
      </c>
      <c r="N4" s="22">
        <v>401.0</v>
      </c>
      <c r="O4" s="22">
        <v>405.0</v>
      </c>
      <c r="P4" s="85">
        <v>206.0</v>
      </c>
      <c r="Q4" s="85">
        <v>502.0</v>
      </c>
      <c r="R4" s="85">
        <v>402.0</v>
      </c>
      <c r="S4" s="116" t="s">
        <v>290</v>
      </c>
      <c r="T4" s="85">
        <v>202.0</v>
      </c>
      <c r="U4" s="22" t="s">
        <v>9</v>
      </c>
    </row>
    <row r="5" ht="30.0" customHeight="1">
      <c r="A5" s="23">
        <v>44337.0</v>
      </c>
      <c r="B5" s="24"/>
      <c r="C5" s="24">
        <v>500.0</v>
      </c>
      <c r="D5" s="24">
        <v>500.0</v>
      </c>
      <c r="E5" s="24"/>
      <c r="F5" s="24"/>
      <c r="G5" s="24">
        <v>500.0</v>
      </c>
      <c r="H5" s="24"/>
      <c r="I5" s="24">
        <v>500.0</v>
      </c>
      <c r="J5" s="24">
        <v>500.0</v>
      </c>
      <c r="K5" s="24">
        <v>500.0</v>
      </c>
      <c r="L5" s="24">
        <v>500.0</v>
      </c>
      <c r="M5" s="24"/>
      <c r="N5" s="24">
        <v>500.0</v>
      </c>
      <c r="O5" s="24">
        <v>500.0</v>
      </c>
      <c r="P5" s="24"/>
      <c r="Q5" s="24"/>
      <c r="R5" s="24"/>
      <c r="S5" s="24"/>
      <c r="T5" s="24"/>
      <c r="U5" s="24">
        <f t="shared" ref="U5:U30" si="1">SUM(B5:S5)</f>
        <v>4500</v>
      </c>
    </row>
    <row r="6" ht="30.0" customHeight="1">
      <c r="A6" s="23">
        <v>44368.0</v>
      </c>
      <c r="B6" s="24"/>
      <c r="C6" s="24">
        <v>500.0</v>
      </c>
      <c r="D6" s="24">
        <v>500.0</v>
      </c>
      <c r="E6" s="24"/>
      <c r="F6" s="24"/>
      <c r="G6" s="24">
        <v>500.0</v>
      </c>
      <c r="H6" s="24"/>
      <c r="I6" s="24">
        <v>500.0</v>
      </c>
      <c r="J6" s="24">
        <v>500.0</v>
      </c>
      <c r="K6" s="24">
        <v>500.0</v>
      </c>
      <c r="L6" s="24">
        <v>500.0</v>
      </c>
      <c r="M6" s="24"/>
      <c r="N6" s="24">
        <v>500.0</v>
      </c>
      <c r="O6" s="24">
        <v>500.0</v>
      </c>
      <c r="P6" s="24"/>
      <c r="Q6" s="24"/>
      <c r="R6" s="24"/>
      <c r="S6" s="24"/>
      <c r="T6" s="24"/>
      <c r="U6" s="24">
        <f t="shared" si="1"/>
        <v>4500</v>
      </c>
    </row>
    <row r="7" ht="30.0" customHeight="1">
      <c r="A7" s="23">
        <v>44398.0</v>
      </c>
      <c r="B7" s="24"/>
      <c r="C7" s="24">
        <v>500.0</v>
      </c>
      <c r="D7" s="24">
        <v>500.0</v>
      </c>
      <c r="E7" s="24"/>
      <c r="F7" s="24"/>
      <c r="G7" s="24">
        <v>500.0</v>
      </c>
      <c r="H7" s="24"/>
      <c r="I7" s="24">
        <v>700.0</v>
      </c>
      <c r="J7" s="24">
        <v>1000.0</v>
      </c>
      <c r="K7" s="24">
        <v>500.0</v>
      </c>
      <c r="L7" s="24">
        <v>500.0</v>
      </c>
      <c r="M7" s="24"/>
      <c r="N7" s="24">
        <v>500.0</v>
      </c>
      <c r="O7" s="24">
        <v>500.0</v>
      </c>
      <c r="P7" s="24"/>
      <c r="Q7" s="24"/>
      <c r="R7" s="24"/>
      <c r="S7" s="24"/>
      <c r="T7" s="24"/>
      <c r="U7" s="24">
        <f t="shared" si="1"/>
        <v>5200</v>
      </c>
    </row>
    <row r="8" ht="30.0" customHeight="1">
      <c r="A8" s="23">
        <v>44429.0</v>
      </c>
      <c r="B8" s="24"/>
      <c r="C8" s="24">
        <v>500.0</v>
      </c>
      <c r="D8" s="24">
        <v>500.0</v>
      </c>
      <c r="E8" s="24"/>
      <c r="F8" s="24"/>
      <c r="G8" s="24">
        <v>500.0</v>
      </c>
      <c r="H8" s="24"/>
      <c r="I8" s="24">
        <v>700.0</v>
      </c>
      <c r="J8" s="24">
        <v>1000.0</v>
      </c>
      <c r="K8" s="24">
        <v>500.0</v>
      </c>
      <c r="L8" s="24">
        <v>500.0</v>
      </c>
      <c r="M8" s="24"/>
      <c r="N8" s="24">
        <v>700.0</v>
      </c>
      <c r="O8" s="24">
        <v>500.0</v>
      </c>
      <c r="P8" s="24"/>
      <c r="Q8" s="24"/>
      <c r="R8" s="24"/>
      <c r="S8" s="24"/>
      <c r="T8" s="24"/>
      <c r="U8" s="24">
        <f t="shared" si="1"/>
        <v>5400</v>
      </c>
    </row>
    <row r="9" ht="30.0" customHeight="1">
      <c r="A9" s="23">
        <v>44460.0</v>
      </c>
      <c r="B9" s="24"/>
      <c r="C9" s="24">
        <v>500.0</v>
      </c>
      <c r="D9" s="24">
        <v>700.0</v>
      </c>
      <c r="E9" s="24"/>
      <c r="F9" s="24"/>
      <c r="G9" s="24">
        <v>800.0</v>
      </c>
      <c r="H9" s="24"/>
      <c r="I9" s="24">
        <v>700.0</v>
      </c>
      <c r="J9" s="24">
        <v>1000.0</v>
      </c>
      <c r="K9" s="24">
        <v>500.0</v>
      </c>
      <c r="L9" s="24">
        <v>500.0</v>
      </c>
      <c r="M9" s="24"/>
      <c r="N9" s="24">
        <v>700.0</v>
      </c>
      <c r="O9" s="24">
        <v>500.0</v>
      </c>
      <c r="P9" s="24"/>
      <c r="Q9" s="24"/>
      <c r="R9" s="24"/>
      <c r="S9" s="24"/>
      <c r="T9" s="24"/>
      <c r="U9" s="24">
        <f t="shared" si="1"/>
        <v>5900</v>
      </c>
    </row>
    <row r="10" ht="30.0" customHeight="1">
      <c r="A10" s="23">
        <v>44490.0</v>
      </c>
      <c r="B10" s="24"/>
      <c r="C10" s="24">
        <v>500.0</v>
      </c>
      <c r="D10" s="24">
        <v>700.0</v>
      </c>
      <c r="E10" s="24"/>
      <c r="F10" s="24"/>
      <c r="G10" s="24">
        <v>800.0</v>
      </c>
      <c r="H10" s="24"/>
      <c r="I10" s="24">
        <v>700.0</v>
      </c>
      <c r="J10" s="24">
        <v>1000.0</v>
      </c>
      <c r="K10" s="24">
        <v>500.0</v>
      </c>
      <c r="L10" s="24">
        <v>500.0</v>
      </c>
      <c r="M10" s="24"/>
      <c r="N10" s="24">
        <v>700.0</v>
      </c>
      <c r="O10" s="24">
        <v>500.0</v>
      </c>
      <c r="P10" s="24"/>
      <c r="Q10" s="24"/>
      <c r="R10" s="24"/>
      <c r="S10" s="24"/>
      <c r="T10" s="24"/>
      <c r="U10" s="24">
        <f t="shared" si="1"/>
        <v>5900</v>
      </c>
    </row>
    <row r="11" ht="30.0" customHeight="1">
      <c r="A11" s="23">
        <v>44521.0</v>
      </c>
      <c r="B11" s="24"/>
      <c r="C11" s="24">
        <v>500.0</v>
      </c>
      <c r="D11" s="24">
        <v>700.0</v>
      </c>
      <c r="E11" s="24"/>
      <c r="F11" s="24"/>
      <c r="G11" s="24">
        <v>800.0</v>
      </c>
      <c r="H11" s="24"/>
      <c r="I11" s="24">
        <v>700.0</v>
      </c>
      <c r="J11" s="24">
        <v>1000.0</v>
      </c>
      <c r="K11" s="24">
        <v>500.0</v>
      </c>
      <c r="L11" s="24">
        <v>500.0</v>
      </c>
      <c r="M11" s="24"/>
      <c r="N11" s="24">
        <v>700.0</v>
      </c>
      <c r="O11" s="24">
        <v>500.0</v>
      </c>
      <c r="P11" s="24"/>
      <c r="Q11" s="24"/>
      <c r="R11" s="24"/>
      <c r="S11" s="24"/>
      <c r="T11" s="24"/>
      <c r="U11" s="24">
        <f t="shared" si="1"/>
        <v>5900</v>
      </c>
    </row>
    <row r="12" ht="30.0" customHeight="1">
      <c r="A12" s="23">
        <v>44551.0</v>
      </c>
      <c r="B12" s="24"/>
      <c r="C12" s="24">
        <v>500.0</v>
      </c>
      <c r="D12" s="24">
        <v>700.0</v>
      </c>
      <c r="E12" s="24"/>
      <c r="F12" s="24"/>
      <c r="G12" s="24">
        <v>800.0</v>
      </c>
      <c r="H12" s="24">
        <v>700.0</v>
      </c>
      <c r="I12" s="24">
        <v>700.0</v>
      </c>
      <c r="J12" s="24">
        <v>1000.0</v>
      </c>
      <c r="K12" s="24">
        <v>500.0</v>
      </c>
      <c r="L12" s="24">
        <v>500.0</v>
      </c>
      <c r="M12" s="24"/>
      <c r="N12" s="24">
        <v>700.0</v>
      </c>
      <c r="O12" s="24">
        <v>500.0</v>
      </c>
      <c r="P12" s="24"/>
      <c r="Q12" s="24"/>
      <c r="R12" s="24"/>
      <c r="S12" s="24"/>
      <c r="T12" s="24"/>
      <c r="U12" s="24">
        <f t="shared" si="1"/>
        <v>6600</v>
      </c>
    </row>
    <row r="13" ht="30.0" customHeight="1">
      <c r="A13" s="23">
        <v>44582.0</v>
      </c>
      <c r="B13" s="24"/>
      <c r="C13" s="24">
        <v>500.0</v>
      </c>
      <c r="D13" s="24">
        <v>700.0</v>
      </c>
      <c r="E13" s="24"/>
      <c r="F13" s="24"/>
      <c r="G13" s="24">
        <v>800.0</v>
      </c>
      <c r="H13" s="24">
        <v>700.0</v>
      </c>
      <c r="I13" s="24">
        <v>700.0</v>
      </c>
      <c r="J13" s="24">
        <v>1000.0</v>
      </c>
      <c r="K13" s="24">
        <v>500.0</v>
      </c>
      <c r="L13" s="24">
        <v>500.0</v>
      </c>
      <c r="M13" s="24"/>
      <c r="N13" s="24">
        <v>700.0</v>
      </c>
      <c r="O13" s="24">
        <v>500.0</v>
      </c>
      <c r="P13" s="24"/>
      <c r="Q13" s="24"/>
      <c r="R13" s="24"/>
      <c r="S13" s="24"/>
      <c r="T13" s="24"/>
      <c r="U13" s="24">
        <f t="shared" si="1"/>
        <v>6600</v>
      </c>
    </row>
    <row r="14" ht="30.0" customHeight="1">
      <c r="A14" s="23">
        <v>44613.0</v>
      </c>
      <c r="B14" s="24"/>
      <c r="C14" s="24">
        <v>500.0</v>
      </c>
      <c r="D14" s="24">
        <v>700.0</v>
      </c>
      <c r="E14" s="24"/>
      <c r="F14" s="24"/>
      <c r="G14" s="24">
        <v>800.0</v>
      </c>
      <c r="H14" s="24">
        <v>700.0</v>
      </c>
      <c r="I14" s="24">
        <v>700.0</v>
      </c>
      <c r="J14" s="24">
        <v>1000.0</v>
      </c>
      <c r="K14" s="24">
        <v>500.0</v>
      </c>
      <c r="L14" s="24">
        <v>500.0</v>
      </c>
      <c r="M14" s="24"/>
      <c r="N14" s="24">
        <v>700.0</v>
      </c>
      <c r="O14" s="24">
        <v>500.0</v>
      </c>
      <c r="P14" s="24"/>
      <c r="Q14" s="24"/>
      <c r="R14" s="24"/>
      <c r="S14" s="24"/>
      <c r="T14" s="24"/>
      <c r="U14" s="24">
        <f t="shared" si="1"/>
        <v>6600</v>
      </c>
    </row>
    <row r="15" ht="30.0" customHeight="1">
      <c r="A15" s="23">
        <v>44641.0</v>
      </c>
      <c r="B15" s="24"/>
      <c r="C15" s="24">
        <v>500.0</v>
      </c>
      <c r="D15" s="24">
        <v>700.0</v>
      </c>
      <c r="E15" s="24"/>
      <c r="F15" s="24"/>
      <c r="G15" s="24">
        <v>800.0</v>
      </c>
      <c r="H15" s="24">
        <v>700.0</v>
      </c>
      <c r="I15" s="24">
        <v>700.0</v>
      </c>
      <c r="J15" s="24">
        <v>1000.0</v>
      </c>
      <c r="K15" s="24">
        <v>550.0</v>
      </c>
      <c r="L15" s="24">
        <v>500.0</v>
      </c>
      <c r="M15" s="24"/>
      <c r="N15" s="24">
        <v>700.0</v>
      </c>
      <c r="O15" s="24">
        <v>500.0</v>
      </c>
      <c r="P15" s="24"/>
      <c r="Q15" s="24"/>
      <c r="R15" s="24"/>
      <c r="S15" s="24"/>
      <c r="T15" s="24"/>
      <c r="U15" s="24">
        <f t="shared" si="1"/>
        <v>6650</v>
      </c>
    </row>
    <row r="16" ht="30.0" customHeight="1">
      <c r="A16" s="23">
        <v>44672.0</v>
      </c>
      <c r="B16" s="24"/>
      <c r="C16" s="24">
        <v>775.0</v>
      </c>
      <c r="D16" s="24">
        <v>350.0</v>
      </c>
      <c r="E16" s="24">
        <v>550.0</v>
      </c>
      <c r="F16" s="24">
        <v>560.0</v>
      </c>
      <c r="G16" s="24">
        <v>400.0</v>
      </c>
      <c r="H16" s="24">
        <v>550.0</v>
      </c>
      <c r="I16" s="24">
        <v>350.0</v>
      </c>
      <c r="J16" s="24">
        <v>775.0</v>
      </c>
      <c r="K16" s="24">
        <v>550.0</v>
      </c>
      <c r="L16" s="24">
        <v>570.0</v>
      </c>
      <c r="M16" s="24">
        <v>550.0</v>
      </c>
      <c r="N16" s="24">
        <v>350.0</v>
      </c>
      <c r="O16" s="24">
        <v>400.0</v>
      </c>
      <c r="P16" s="24"/>
      <c r="Q16" s="24"/>
      <c r="R16" s="24"/>
      <c r="S16" s="24"/>
      <c r="T16" s="24"/>
      <c r="U16" s="24">
        <f t="shared" si="1"/>
        <v>6730</v>
      </c>
    </row>
    <row r="17" ht="30.0" customHeight="1">
      <c r="A17" s="23">
        <v>44702.0</v>
      </c>
      <c r="B17" s="24"/>
      <c r="C17" s="24">
        <v>775.0</v>
      </c>
      <c r="D17" s="24">
        <v>350.0</v>
      </c>
      <c r="E17" s="24">
        <v>550.0</v>
      </c>
      <c r="F17" s="24">
        <v>560.0</v>
      </c>
      <c r="G17" s="24">
        <v>400.0</v>
      </c>
      <c r="H17" s="24">
        <v>550.0</v>
      </c>
      <c r="I17" s="24">
        <v>350.0</v>
      </c>
      <c r="J17" s="24">
        <v>775.0</v>
      </c>
      <c r="K17" s="24">
        <v>550.0</v>
      </c>
      <c r="L17" s="24">
        <v>570.0</v>
      </c>
      <c r="M17" s="24">
        <v>550.0</v>
      </c>
      <c r="N17" s="24">
        <v>350.0</v>
      </c>
      <c r="O17" s="24">
        <v>400.0</v>
      </c>
      <c r="P17" s="24"/>
      <c r="Q17" s="24"/>
      <c r="R17" s="24"/>
      <c r="S17" s="24"/>
      <c r="T17" s="24"/>
      <c r="U17" s="24">
        <f t="shared" si="1"/>
        <v>6730</v>
      </c>
    </row>
    <row r="18" ht="30.0" customHeight="1">
      <c r="A18" s="23">
        <v>44734.0</v>
      </c>
      <c r="B18" s="24"/>
      <c r="C18" s="24">
        <v>775.0</v>
      </c>
      <c r="D18" s="24">
        <v>350.0</v>
      </c>
      <c r="E18" s="24">
        <v>550.0</v>
      </c>
      <c r="F18" s="24">
        <v>560.0</v>
      </c>
      <c r="G18" s="86">
        <v>400.0</v>
      </c>
      <c r="H18" s="24">
        <v>550.0</v>
      </c>
      <c r="I18" s="24">
        <v>350.0</v>
      </c>
      <c r="J18" s="24">
        <v>775.0</v>
      </c>
      <c r="K18" s="24">
        <v>550.0</v>
      </c>
      <c r="L18" s="24">
        <v>570.0</v>
      </c>
      <c r="M18" s="24">
        <v>550.0</v>
      </c>
      <c r="N18" s="24">
        <v>350.0</v>
      </c>
      <c r="O18" s="24">
        <v>400.0</v>
      </c>
      <c r="P18" s="24"/>
      <c r="Q18" s="24"/>
      <c r="R18" s="24"/>
      <c r="S18" s="24"/>
      <c r="T18" s="24"/>
      <c r="U18" s="24">
        <f t="shared" si="1"/>
        <v>6730</v>
      </c>
    </row>
    <row r="19" ht="30.0" customHeight="1">
      <c r="A19" s="23">
        <v>44764.0</v>
      </c>
      <c r="B19" s="24"/>
      <c r="C19" s="24">
        <v>775.0</v>
      </c>
      <c r="D19" s="24">
        <v>350.0</v>
      </c>
      <c r="E19" s="24">
        <v>550.0</v>
      </c>
      <c r="F19" s="24">
        <v>560.0</v>
      </c>
      <c r="G19" s="86">
        <v>400.0</v>
      </c>
      <c r="H19" s="24">
        <v>550.0</v>
      </c>
      <c r="I19" s="24">
        <v>350.0</v>
      </c>
      <c r="J19" s="24">
        <v>775.0</v>
      </c>
      <c r="K19" s="24">
        <v>550.0</v>
      </c>
      <c r="L19" s="24">
        <v>570.0</v>
      </c>
      <c r="M19" s="86">
        <v>550.0</v>
      </c>
      <c r="N19" s="24">
        <v>350.0</v>
      </c>
      <c r="O19" s="24">
        <v>400.0</v>
      </c>
      <c r="P19" s="24"/>
      <c r="Q19" s="24"/>
      <c r="R19" s="24"/>
      <c r="S19" s="24"/>
      <c r="T19" s="24"/>
      <c r="U19" s="24">
        <f t="shared" si="1"/>
        <v>6730</v>
      </c>
    </row>
    <row r="20" ht="30.0" hidden="1" customHeight="1">
      <c r="A20" s="23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>
        <f t="shared" si="1"/>
        <v>0</v>
      </c>
    </row>
    <row r="21" ht="30.0" hidden="1" customHeight="1">
      <c r="A21" s="23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>
        <f t="shared" si="1"/>
        <v>0</v>
      </c>
    </row>
    <row r="22" ht="30.0" hidden="1" customHeight="1">
      <c r="A22" s="23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>
        <f t="shared" si="1"/>
        <v>0</v>
      </c>
    </row>
    <row r="23" ht="30.0" hidden="1" customHeight="1">
      <c r="A23" s="23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>
        <f t="shared" si="1"/>
        <v>0</v>
      </c>
    </row>
    <row r="24" ht="30.0" hidden="1" customHeight="1">
      <c r="A24" s="23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>
        <f t="shared" si="1"/>
        <v>0</v>
      </c>
    </row>
    <row r="25" ht="30.0" hidden="1" customHeight="1">
      <c r="A25" s="23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>
        <f t="shared" si="1"/>
        <v>0</v>
      </c>
    </row>
    <row r="26" ht="30.0" customHeight="1">
      <c r="A26" s="26">
        <v>44795.0</v>
      </c>
      <c r="B26" s="24"/>
      <c r="C26" s="86">
        <v>1100.0</v>
      </c>
      <c r="D26" s="86">
        <v>800.0</v>
      </c>
      <c r="E26" s="24"/>
      <c r="F26" s="86">
        <v>1000.0</v>
      </c>
      <c r="G26" s="86">
        <v>800.0</v>
      </c>
      <c r="H26" s="117">
        <v>550.0</v>
      </c>
      <c r="I26" s="86">
        <v>800.0</v>
      </c>
      <c r="J26" s="86">
        <v>1100.0</v>
      </c>
      <c r="K26" s="86">
        <v>1000.0</v>
      </c>
      <c r="L26" s="86">
        <v>1000.0</v>
      </c>
      <c r="M26" s="86">
        <v>1000.0</v>
      </c>
      <c r="N26" s="86">
        <v>800.0</v>
      </c>
      <c r="O26" s="86">
        <v>800.0</v>
      </c>
      <c r="P26" s="24"/>
      <c r="Q26" s="24"/>
      <c r="R26" s="24"/>
      <c r="S26" s="24"/>
      <c r="T26" s="24"/>
      <c r="U26" s="24">
        <f t="shared" si="1"/>
        <v>10750</v>
      </c>
    </row>
    <row r="27" ht="30.0" customHeight="1">
      <c r="A27" s="26">
        <v>44826.0</v>
      </c>
      <c r="B27" s="24"/>
      <c r="C27" s="86">
        <v>1100.0</v>
      </c>
      <c r="D27" s="86">
        <v>800.0</v>
      </c>
      <c r="E27" s="24"/>
      <c r="F27" s="86">
        <v>1000.0</v>
      </c>
      <c r="G27" s="86">
        <v>800.0</v>
      </c>
      <c r="H27" s="86">
        <v>1000.0</v>
      </c>
      <c r="I27" s="86">
        <v>800.0</v>
      </c>
      <c r="J27" s="86">
        <v>1100.0</v>
      </c>
      <c r="K27" s="86">
        <v>1000.0</v>
      </c>
      <c r="L27" s="86">
        <v>1000.0</v>
      </c>
      <c r="M27" s="86">
        <v>1000.0</v>
      </c>
      <c r="N27" s="86">
        <v>800.0</v>
      </c>
      <c r="O27" s="86">
        <v>800.0</v>
      </c>
      <c r="P27" s="24"/>
      <c r="Q27" s="24"/>
      <c r="R27" s="24"/>
      <c r="S27" s="24"/>
      <c r="T27" s="24"/>
      <c r="U27" s="24">
        <f t="shared" si="1"/>
        <v>11200</v>
      </c>
    </row>
    <row r="28" ht="30.0" customHeight="1">
      <c r="A28" s="26">
        <v>44856.0</v>
      </c>
      <c r="B28" s="117">
        <v>0.0</v>
      </c>
      <c r="C28" s="86">
        <v>1100.0</v>
      </c>
      <c r="D28" s="86">
        <v>800.0</v>
      </c>
      <c r="E28" s="24"/>
      <c r="F28" s="86">
        <v>1000.0</v>
      </c>
      <c r="G28" s="86">
        <v>800.0</v>
      </c>
      <c r="H28" s="86">
        <v>1000.0</v>
      </c>
      <c r="I28" s="86">
        <v>800.0</v>
      </c>
      <c r="J28" s="86">
        <v>1100.0</v>
      </c>
      <c r="K28" s="86">
        <v>1000.0</v>
      </c>
      <c r="L28" s="86">
        <v>1000.0</v>
      </c>
      <c r="M28" s="86">
        <v>1000.0</v>
      </c>
      <c r="N28" s="86">
        <v>800.0</v>
      </c>
      <c r="O28" s="86">
        <v>800.0</v>
      </c>
      <c r="P28" s="24"/>
      <c r="Q28" s="24"/>
      <c r="R28" s="24"/>
      <c r="S28" s="24"/>
      <c r="T28" s="24"/>
      <c r="U28" s="24">
        <f t="shared" si="1"/>
        <v>11200</v>
      </c>
    </row>
    <row r="29" ht="30.0" customHeight="1">
      <c r="A29" s="26">
        <v>44887.0</v>
      </c>
      <c r="B29" s="86">
        <v>800.0</v>
      </c>
      <c r="C29" s="86">
        <v>1100.0</v>
      </c>
      <c r="D29" s="86">
        <v>800.0</v>
      </c>
      <c r="E29" s="24"/>
      <c r="F29" s="86">
        <v>1000.0</v>
      </c>
      <c r="G29" s="86">
        <v>800.0</v>
      </c>
      <c r="H29" s="86">
        <v>1000.0</v>
      </c>
      <c r="I29" s="86">
        <v>800.0</v>
      </c>
      <c r="J29" s="86">
        <v>1100.0</v>
      </c>
      <c r="K29" s="86">
        <v>1000.0</v>
      </c>
      <c r="L29" s="86">
        <v>1000.0</v>
      </c>
      <c r="M29" s="86">
        <v>1000.0</v>
      </c>
      <c r="N29" s="86">
        <v>800.0</v>
      </c>
      <c r="O29" s="86">
        <v>800.0</v>
      </c>
      <c r="P29" s="24"/>
      <c r="Q29" s="24"/>
      <c r="R29" s="24"/>
      <c r="S29" s="24"/>
      <c r="T29" s="24"/>
      <c r="U29" s="24">
        <f t="shared" si="1"/>
        <v>12000</v>
      </c>
    </row>
    <row r="30" ht="30.0" customHeight="1">
      <c r="A30" s="26">
        <v>44917.0</v>
      </c>
      <c r="B30" s="86">
        <v>800.0</v>
      </c>
      <c r="C30" s="86">
        <v>1100.0</v>
      </c>
      <c r="D30" s="86">
        <v>800.0</v>
      </c>
      <c r="E30" s="24"/>
      <c r="F30" s="86">
        <v>1000.0</v>
      </c>
      <c r="G30" s="86">
        <v>800.0</v>
      </c>
      <c r="H30" s="86">
        <v>1000.0</v>
      </c>
      <c r="I30" s="86">
        <v>800.0</v>
      </c>
      <c r="J30" s="86">
        <v>1100.0</v>
      </c>
      <c r="K30" s="86">
        <v>1000.0</v>
      </c>
      <c r="L30" s="86">
        <v>1000.0</v>
      </c>
      <c r="M30" s="86">
        <v>1000.0</v>
      </c>
      <c r="N30" s="86">
        <v>800.0</v>
      </c>
      <c r="O30" s="86">
        <v>800.0</v>
      </c>
      <c r="P30" s="24"/>
      <c r="Q30" s="24"/>
      <c r="R30" s="24"/>
      <c r="S30" s="24"/>
      <c r="T30" s="24"/>
      <c r="U30" s="24">
        <f t="shared" si="1"/>
        <v>12000</v>
      </c>
    </row>
    <row r="31" ht="30.0" customHeight="1">
      <c r="A31" s="26"/>
      <c r="B31" s="118" t="s">
        <v>291</v>
      </c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4"/>
    </row>
    <row r="32" ht="30.0" customHeight="1">
      <c r="A32" s="26">
        <v>44949.0</v>
      </c>
      <c r="B32" s="86">
        <v>800.0</v>
      </c>
      <c r="C32" s="86">
        <v>1100.0</v>
      </c>
      <c r="D32" s="86">
        <v>800.0</v>
      </c>
      <c r="E32" s="24"/>
      <c r="F32" s="86">
        <v>1000.0</v>
      </c>
      <c r="G32" s="86">
        <v>800.0</v>
      </c>
      <c r="H32" s="86">
        <v>1000.0</v>
      </c>
      <c r="I32" s="86">
        <v>800.0</v>
      </c>
      <c r="J32" s="86">
        <v>1100.0</v>
      </c>
      <c r="K32" s="86">
        <v>1000.0</v>
      </c>
      <c r="L32" s="86">
        <v>1000.0</v>
      </c>
      <c r="M32" s="86">
        <v>1000.0</v>
      </c>
      <c r="N32" s="86">
        <v>800.0</v>
      </c>
      <c r="O32" s="86">
        <v>800.0</v>
      </c>
      <c r="P32" s="24"/>
      <c r="Q32" s="86">
        <v>1100.0</v>
      </c>
      <c r="R32" s="86">
        <v>1100.0</v>
      </c>
      <c r="S32" s="24"/>
      <c r="T32" s="24"/>
      <c r="U32" s="24">
        <f t="shared" ref="U32:U43" si="2">SUM(B32:S32)</f>
        <v>14200</v>
      </c>
    </row>
    <row r="33" ht="30.0" customHeight="1">
      <c r="A33" s="26">
        <v>44980.0</v>
      </c>
      <c r="B33" s="86">
        <v>800.0</v>
      </c>
      <c r="C33" s="86">
        <v>1100.0</v>
      </c>
      <c r="D33" s="86">
        <v>800.0</v>
      </c>
      <c r="E33" s="24"/>
      <c r="F33" s="86">
        <v>1000.0</v>
      </c>
      <c r="G33" s="86">
        <v>800.0</v>
      </c>
      <c r="H33" s="86">
        <v>1000.0</v>
      </c>
      <c r="I33" s="86">
        <v>800.0</v>
      </c>
      <c r="J33" s="86">
        <v>1100.0</v>
      </c>
      <c r="K33" s="86">
        <v>1000.0</v>
      </c>
      <c r="L33" s="86">
        <v>1000.0</v>
      </c>
      <c r="M33" s="86">
        <v>1000.0</v>
      </c>
      <c r="N33" s="86">
        <v>800.0</v>
      </c>
      <c r="O33" s="86">
        <v>800.0</v>
      </c>
      <c r="P33" s="24"/>
      <c r="Q33" s="86">
        <v>1100.0</v>
      </c>
      <c r="R33" s="86">
        <v>1100.0</v>
      </c>
      <c r="S33" s="24"/>
      <c r="T33" s="24"/>
      <c r="U33" s="24">
        <f t="shared" si="2"/>
        <v>14200</v>
      </c>
    </row>
    <row r="34" ht="30.0" customHeight="1">
      <c r="A34" s="26">
        <v>45008.0</v>
      </c>
      <c r="B34" s="86">
        <v>800.0</v>
      </c>
      <c r="C34" s="86">
        <v>1100.0</v>
      </c>
      <c r="D34" s="86">
        <v>800.0</v>
      </c>
      <c r="E34" s="24"/>
      <c r="F34" s="86">
        <v>1000.0</v>
      </c>
      <c r="G34" s="86">
        <v>800.0</v>
      </c>
      <c r="H34" s="86">
        <v>1000.0</v>
      </c>
      <c r="I34" s="86">
        <v>800.0</v>
      </c>
      <c r="J34" s="86">
        <v>1100.0</v>
      </c>
      <c r="K34" s="86">
        <v>1000.0</v>
      </c>
      <c r="L34" s="86">
        <v>1000.0</v>
      </c>
      <c r="M34" s="86">
        <v>1000.0</v>
      </c>
      <c r="N34" s="86">
        <v>800.0</v>
      </c>
      <c r="O34" s="86">
        <v>800.0</v>
      </c>
      <c r="P34" s="24"/>
      <c r="Q34" s="86">
        <v>1100.0</v>
      </c>
      <c r="R34" s="86">
        <v>1100.0</v>
      </c>
      <c r="S34" s="24"/>
      <c r="T34" s="24"/>
      <c r="U34" s="24">
        <f t="shared" si="2"/>
        <v>14200</v>
      </c>
    </row>
    <row r="35" ht="30.0" customHeight="1">
      <c r="A35" s="26">
        <v>45039.0</v>
      </c>
      <c r="B35" s="86">
        <v>800.0</v>
      </c>
      <c r="C35" s="86">
        <v>1100.0</v>
      </c>
      <c r="D35" s="86">
        <v>800.0</v>
      </c>
      <c r="E35" s="24"/>
      <c r="F35" s="86">
        <v>1000.0</v>
      </c>
      <c r="G35" s="86">
        <v>800.0</v>
      </c>
      <c r="H35" s="86">
        <v>1000.0</v>
      </c>
      <c r="I35" s="86">
        <v>800.0</v>
      </c>
      <c r="J35" s="86">
        <v>1100.0</v>
      </c>
      <c r="K35" s="86">
        <v>1000.0</v>
      </c>
      <c r="L35" s="86">
        <v>1000.0</v>
      </c>
      <c r="M35" s="86">
        <v>1000.0</v>
      </c>
      <c r="N35" s="86">
        <v>800.0</v>
      </c>
      <c r="O35" s="86">
        <v>800.0</v>
      </c>
      <c r="P35" s="86">
        <v>1000.0</v>
      </c>
      <c r="Q35" s="86">
        <v>1100.0</v>
      </c>
      <c r="R35" s="86">
        <v>1100.0</v>
      </c>
      <c r="S35" s="24"/>
      <c r="T35" s="24"/>
      <c r="U35" s="24">
        <f t="shared" si="2"/>
        <v>15200</v>
      </c>
    </row>
    <row r="36" ht="30.0" customHeight="1">
      <c r="A36" s="26">
        <v>45069.0</v>
      </c>
      <c r="B36" s="86">
        <v>800.0</v>
      </c>
      <c r="C36" s="86">
        <v>1100.0</v>
      </c>
      <c r="D36" s="86">
        <v>800.0</v>
      </c>
      <c r="E36" s="24"/>
      <c r="F36" s="86">
        <v>1000.0</v>
      </c>
      <c r="G36" s="86">
        <v>800.0</v>
      </c>
      <c r="H36" s="86">
        <v>1000.0</v>
      </c>
      <c r="I36" s="86">
        <v>800.0</v>
      </c>
      <c r="J36" s="86">
        <v>1100.0</v>
      </c>
      <c r="K36" s="86">
        <v>1000.0</v>
      </c>
      <c r="L36" s="86">
        <v>1000.0</v>
      </c>
      <c r="M36" s="86">
        <v>1000.0</v>
      </c>
      <c r="N36" s="86">
        <v>800.0</v>
      </c>
      <c r="O36" s="86">
        <v>800.0</v>
      </c>
      <c r="P36" s="86">
        <v>1000.0</v>
      </c>
      <c r="Q36" s="86">
        <v>1100.0</v>
      </c>
      <c r="R36" s="86">
        <v>1100.0</v>
      </c>
      <c r="S36" s="24"/>
      <c r="T36" s="24"/>
      <c r="U36" s="24">
        <f t="shared" si="2"/>
        <v>15200</v>
      </c>
    </row>
    <row r="37" ht="30.0" customHeight="1">
      <c r="A37" s="26">
        <v>45100.0</v>
      </c>
      <c r="B37" s="86">
        <v>800.0</v>
      </c>
      <c r="C37" s="86">
        <v>1100.0</v>
      </c>
      <c r="D37" s="86">
        <v>800.0</v>
      </c>
      <c r="E37" s="24"/>
      <c r="F37" s="86">
        <v>1000.0</v>
      </c>
      <c r="G37" s="86">
        <v>800.0</v>
      </c>
      <c r="H37" s="86">
        <v>1000.0</v>
      </c>
      <c r="I37" s="86">
        <v>800.0</v>
      </c>
      <c r="J37" s="86">
        <v>1100.0</v>
      </c>
      <c r="K37" s="86">
        <v>1000.0</v>
      </c>
      <c r="L37" s="86">
        <v>1000.0</v>
      </c>
      <c r="M37" s="86">
        <v>1000.0</v>
      </c>
      <c r="N37" s="86">
        <v>800.0</v>
      </c>
      <c r="O37" s="86">
        <v>800.0</v>
      </c>
      <c r="P37" s="86">
        <v>1000.0</v>
      </c>
      <c r="Q37" s="86">
        <v>1100.0</v>
      </c>
      <c r="R37" s="86">
        <v>1100.0</v>
      </c>
      <c r="S37" s="24"/>
      <c r="T37" s="24"/>
      <c r="U37" s="24">
        <f t="shared" si="2"/>
        <v>15200</v>
      </c>
    </row>
    <row r="38" ht="30.0" customHeight="1">
      <c r="A38" s="26">
        <v>45130.0</v>
      </c>
      <c r="B38" s="86">
        <v>800.0</v>
      </c>
      <c r="C38" s="86">
        <v>1100.0</v>
      </c>
      <c r="D38" s="86">
        <v>800.0</v>
      </c>
      <c r="E38" s="24"/>
      <c r="F38" s="86">
        <v>1000.0</v>
      </c>
      <c r="G38" s="86">
        <v>800.0</v>
      </c>
      <c r="H38" s="86">
        <v>1000.0</v>
      </c>
      <c r="I38" s="86">
        <v>800.0</v>
      </c>
      <c r="J38" s="86">
        <v>1100.0</v>
      </c>
      <c r="K38" s="86">
        <v>1000.0</v>
      </c>
      <c r="L38" s="86">
        <v>1000.0</v>
      </c>
      <c r="M38" s="86">
        <v>1000.0</v>
      </c>
      <c r="N38" s="86">
        <v>800.0</v>
      </c>
      <c r="O38" s="86">
        <v>800.0</v>
      </c>
      <c r="P38" s="86">
        <v>1000.0</v>
      </c>
      <c r="Q38" s="86">
        <v>1100.0</v>
      </c>
      <c r="R38" s="86">
        <v>1100.0</v>
      </c>
      <c r="S38" s="24"/>
      <c r="T38" s="24"/>
      <c r="U38" s="24">
        <f t="shared" si="2"/>
        <v>15200</v>
      </c>
    </row>
    <row r="39" ht="30.0" customHeight="1">
      <c r="A39" s="26">
        <v>45161.0</v>
      </c>
      <c r="B39" s="86">
        <v>800.0</v>
      </c>
      <c r="C39" s="86">
        <v>1100.0</v>
      </c>
      <c r="D39" s="86">
        <v>800.0</v>
      </c>
      <c r="E39" s="24"/>
      <c r="F39" s="86">
        <v>1000.0</v>
      </c>
      <c r="G39" s="86">
        <v>800.0</v>
      </c>
      <c r="H39" s="86">
        <v>1000.0</v>
      </c>
      <c r="I39" s="86">
        <v>800.0</v>
      </c>
      <c r="J39" s="86">
        <v>1100.0</v>
      </c>
      <c r="K39" s="86">
        <v>1000.0</v>
      </c>
      <c r="L39" s="86">
        <v>1000.0</v>
      </c>
      <c r="M39" s="86">
        <v>1000.0</v>
      </c>
      <c r="N39" s="86">
        <v>800.0</v>
      </c>
      <c r="O39" s="86">
        <v>800.0</v>
      </c>
      <c r="P39" s="86">
        <v>1000.0</v>
      </c>
      <c r="Q39" s="86">
        <v>1100.0</v>
      </c>
      <c r="R39" s="86">
        <v>1100.0</v>
      </c>
      <c r="S39" s="24"/>
      <c r="T39" s="24"/>
      <c r="U39" s="24">
        <f t="shared" si="2"/>
        <v>15200</v>
      </c>
    </row>
    <row r="40" ht="30.0" customHeight="1">
      <c r="A40" s="26">
        <v>45192.0</v>
      </c>
      <c r="B40" s="86">
        <v>800.0</v>
      </c>
      <c r="C40" s="86">
        <v>1100.0</v>
      </c>
      <c r="D40" s="86">
        <v>800.0</v>
      </c>
      <c r="E40" s="24"/>
      <c r="F40" s="86">
        <v>1000.0</v>
      </c>
      <c r="G40" s="86">
        <v>800.0</v>
      </c>
      <c r="H40" s="86">
        <v>1000.0</v>
      </c>
      <c r="I40" s="86">
        <v>800.0</v>
      </c>
      <c r="J40" s="86">
        <v>1100.0</v>
      </c>
      <c r="K40" s="86">
        <v>1000.0</v>
      </c>
      <c r="L40" s="86">
        <v>1000.0</v>
      </c>
      <c r="M40" s="86">
        <v>1000.0</v>
      </c>
      <c r="N40" s="86">
        <v>800.0</v>
      </c>
      <c r="O40" s="86">
        <v>800.0</v>
      </c>
      <c r="P40" s="86">
        <v>1000.0</v>
      </c>
      <c r="Q40" s="86">
        <v>1100.0</v>
      </c>
      <c r="R40" s="86">
        <v>1100.0</v>
      </c>
      <c r="S40" s="24"/>
      <c r="T40" s="24"/>
      <c r="U40" s="24">
        <f t="shared" si="2"/>
        <v>15200</v>
      </c>
    </row>
    <row r="41" ht="30.0" customHeight="1">
      <c r="A41" s="26">
        <v>45222.0</v>
      </c>
      <c r="B41" s="86">
        <v>800.0</v>
      </c>
      <c r="C41" s="86">
        <v>1100.0</v>
      </c>
      <c r="D41" s="86">
        <v>800.0</v>
      </c>
      <c r="E41" s="24"/>
      <c r="F41" s="86">
        <v>1000.0</v>
      </c>
      <c r="G41" s="86">
        <v>800.0</v>
      </c>
      <c r="H41" s="86">
        <v>1000.0</v>
      </c>
      <c r="I41" s="86">
        <v>800.0</v>
      </c>
      <c r="J41" s="86">
        <v>1100.0</v>
      </c>
      <c r="K41" s="86">
        <v>1000.0</v>
      </c>
      <c r="L41" s="86">
        <v>1000.0</v>
      </c>
      <c r="M41" s="86">
        <v>1000.0</v>
      </c>
      <c r="N41" s="86">
        <v>800.0</v>
      </c>
      <c r="O41" s="86">
        <v>800.0</v>
      </c>
      <c r="P41" s="86">
        <v>1000.0</v>
      </c>
      <c r="Q41" s="86">
        <v>1100.0</v>
      </c>
      <c r="R41" s="86">
        <v>1100.0</v>
      </c>
      <c r="S41" s="24"/>
      <c r="T41" s="24"/>
      <c r="U41" s="24">
        <f t="shared" si="2"/>
        <v>15200</v>
      </c>
    </row>
    <row r="42" ht="30.0" customHeight="1">
      <c r="A42" s="26">
        <v>45253.0</v>
      </c>
      <c r="B42" s="86">
        <v>800.0</v>
      </c>
      <c r="C42" s="86">
        <v>1100.0</v>
      </c>
      <c r="D42" s="86">
        <v>800.0</v>
      </c>
      <c r="E42" s="24"/>
      <c r="F42" s="86">
        <v>1000.0</v>
      </c>
      <c r="G42" s="86">
        <v>800.0</v>
      </c>
      <c r="H42" s="86">
        <v>1000.0</v>
      </c>
      <c r="I42" s="86">
        <v>800.0</v>
      </c>
      <c r="J42" s="86">
        <v>1100.0</v>
      </c>
      <c r="K42" s="86">
        <v>1000.0</v>
      </c>
      <c r="L42" s="86">
        <v>1000.0</v>
      </c>
      <c r="M42" s="86">
        <v>1000.0</v>
      </c>
      <c r="N42" s="86">
        <v>800.0</v>
      </c>
      <c r="O42" s="86">
        <v>800.0</v>
      </c>
      <c r="P42" s="86">
        <v>1000.0</v>
      </c>
      <c r="Q42" s="86">
        <v>1100.0</v>
      </c>
      <c r="R42" s="86">
        <v>1100.0</v>
      </c>
      <c r="S42" s="24"/>
      <c r="T42" s="24"/>
      <c r="U42" s="24">
        <f t="shared" si="2"/>
        <v>15200</v>
      </c>
    </row>
    <row r="43" ht="30.0" customHeight="1">
      <c r="A43" s="26">
        <v>45283.0</v>
      </c>
      <c r="B43" s="86">
        <v>800.0</v>
      </c>
      <c r="C43" s="86">
        <v>1100.0</v>
      </c>
      <c r="D43" s="86">
        <v>800.0</v>
      </c>
      <c r="E43" s="24"/>
      <c r="F43" s="86">
        <v>1000.0</v>
      </c>
      <c r="G43" s="86">
        <v>800.0</v>
      </c>
      <c r="H43" s="86">
        <v>1000.0</v>
      </c>
      <c r="I43" s="86">
        <v>800.0</v>
      </c>
      <c r="J43" s="86">
        <v>1100.0</v>
      </c>
      <c r="K43" s="86">
        <v>1000.0</v>
      </c>
      <c r="L43" s="86">
        <v>1000.0</v>
      </c>
      <c r="M43" s="86">
        <v>1000.0</v>
      </c>
      <c r="N43" s="86">
        <v>800.0</v>
      </c>
      <c r="O43" s="86">
        <v>800.0</v>
      </c>
      <c r="P43" s="86">
        <v>1000.0</v>
      </c>
      <c r="Q43" s="86">
        <v>1100.0</v>
      </c>
      <c r="R43" s="86">
        <v>1100.0</v>
      </c>
      <c r="S43" s="24"/>
      <c r="T43" s="24"/>
      <c r="U43" s="24">
        <f t="shared" si="2"/>
        <v>15200</v>
      </c>
    </row>
    <row r="44" ht="30.0" customHeight="1">
      <c r="A44" s="26"/>
      <c r="B44" s="119" t="s">
        <v>292</v>
      </c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4"/>
    </row>
    <row r="45" ht="30.0" customHeight="1">
      <c r="A45" s="26">
        <v>45315.0</v>
      </c>
      <c r="B45" s="86">
        <v>800.0</v>
      </c>
      <c r="C45" s="24"/>
      <c r="D45" s="86">
        <v>800.0</v>
      </c>
      <c r="E45" s="24"/>
      <c r="F45" s="86">
        <v>1000.0</v>
      </c>
      <c r="G45" s="24"/>
      <c r="H45" s="86">
        <v>1000.0</v>
      </c>
      <c r="I45" s="86">
        <v>800.0</v>
      </c>
      <c r="J45" s="86">
        <v>1100.0</v>
      </c>
      <c r="K45" s="86">
        <v>1000.0</v>
      </c>
      <c r="L45" s="86">
        <v>1000.0</v>
      </c>
      <c r="M45" s="86">
        <v>1000.0</v>
      </c>
      <c r="N45" s="86">
        <v>800.0</v>
      </c>
      <c r="O45" s="86">
        <v>800.0</v>
      </c>
      <c r="P45" s="86">
        <v>1000.0</v>
      </c>
      <c r="Q45" s="86">
        <v>1100.0</v>
      </c>
      <c r="R45" s="86">
        <v>1100.0</v>
      </c>
      <c r="S45" s="24"/>
      <c r="T45" s="24"/>
      <c r="U45" s="24">
        <f t="shared" ref="U45:U56" si="3">SUM(B45:R45)</f>
        <v>13300</v>
      </c>
    </row>
    <row r="46" ht="30.0" customHeight="1">
      <c r="A46" s="26">
        <v>45346.0</v>
      </c>
      <c r="B46" s="86">
        <v>800.0</v>
      </c>
      <c r="C46" s="24"/>
      <c r="D46" s="86">
        <v>800.0</v>
      </c>
      <c r="E46" s="24"/>
      <c r="F46" s="86">
        <v>1000.0</v>
      </c>
      <c r="G46" s="24"/>
      <c r="H46" s="86">
        <v>1000.0</v>
      </c>
      <c r="I46" s="86">
        <v>800.0</v>
      </c>
      <c r="J46" s="86">
        <v>1100.0</v>
      </c>
      <c r="K46" s="86">
        <v>1000.0</v>
      </c>
      <c r="L46" s="86">
        <v>1000.0</v>
      </c>
      <c r="M46" s="86">
        <v>1000.0</v>
      </c>
      <c r="N46" s="86">
        <v>800.0</v>
      </c>
      <c r="O46" s="86">
        <v>800.0</v>
      </c>
      <c r="P46" s="86">
        <v>1000.0</v>
      </c>
      <c r="Q46" s="86">
        <v>1100.0</v>
      </c>
      <c r="R46" s="86">
        <v>1100.0</v>
      </c>
      <c r="S46" s="24"/>
      <c r="T46" s="24"/>
      <c r="U46" s="24">
        <f t="shared" si="3"/>
        <v>13300</v>
      </c>
    </row>
    <row r="47" ht="30.0" customHeight="1">
      <c r="A47" s="26">
        <v>45375.0</v>
      </c>
      <c r="B47" s="86">
        <v>800.0</v>
      </c>
      <c r="C47" s="24"/>
      <c r="D47" s="86">
        <v>800.0</v>
      </c>
      <c r="E47" s="24"/>
      <c r="F47" s="86">
        <v>1000.0</v>
      </c>
      <c r="G47" s="24"/>
      <c r="H47" s="86">
        <v>1000.0</v>
      </c>
      <c r="I47" s="86">
        <v>800.0</v>
      </c>
      <c r="J47" s="86">
        <v>1100.0</v>
      </c>
      <c r="K47" s="86">
        <v>1000.0</v>
      </c>
      <c r="L47" s="86">
        <v>1000.0</v>
      </c>
      <c r="M47" s="86">
        <v>1000.0</v>
      </c>
      <c r="N47" s="86">
        <v>800.0</v>
      </c>
      <c r="O47" s="86">
        <v>800.0</v>
      </c>
      <c r="P47" s="86">
        <v>1000.0</v>
      </c>
      <c r="Q47" s="86">
        <v>1100.0</v>
      </c>
      <c r="R47" s="86">
        <v>1100.0</v>
      </c>
      <c r="S47" s="24"/>
      <c r="T47" s="24"/>
      <c r="U47" s="24">
        <f t="shared" si="3"/>
        <v>13300</v>
      </c>
      <c r="AE47" s="108"/>
    </row>
    <row r="48" ht="30.0" customHeight="1">
      <c r="A48" s="26">
        <v>45406.0</v>
      </c>
      <c r="B48" s="86">
        <v>800.0</v>
      </c>
      <c r="C48" s="24"/>
      <c r="D48" s="86">
        <v>800.0</v>
      </c>
      <c r="E48" s="24"/>
      <c r="F48" s="86">
        <v>1000.0</v>
      </c>
      <c r="G48" s="24"/>
      <c r="H48" s="86">
        <v>1000.0</v>
      </c>
      <c r="I48" s="86">
        <v>800.0</v>
      </c>
      <c r="J48" s="86">
        <v>1100.0</v>
      </c>
      <c r="K48" s="86">
        <v>1000.0</v>
      </c>
      <c r="L48" s="86">
        <v>1000.0</v>
      </c>
      <c r="M48" s="86">
        <v>1000.0</v>
      </c>
      <c r="N48" s="86">
        <v>800.0</v>
      </c>
      <c r="O48" s="86">
        <v>800.0</v>
      </c>
      <c r="P48" s="86">
        <v>1000.0</v>
      </c>
      <c r="Q48" s="86">
        <v>1100.0</v>
      </c>
      <c r="R48" s="24"/>
      <c r="S48" s="24"/>
      <c r="T48" s="24"/>
      <c r="U48" s="24">
        <f t="shared" si="3"/>
        <v>12200</v>
      </c>
    </row>
    <row r="49" ht="30.0" customHeight="1">
      <c r="A49" s="26">
        <v>45436.0</v>
      </c>
      <c r="B49" s="86">
        <v>800.0</v>
      </c>
      <c r="C49" s="24"/>
      <c r="D49" s="86">
        <v>800.0</v>
      </c>
      <c r="E49" s="24"/>
      <c r="F49" s="86">
        <v>1000.0</v>
      </c>
      <c r="G49" s="24"/>
      <c r="H49" s="86">
        <v>1000.0</v>
      </c>
      <c r="I49" s="86">
        <v>800.0</v>
      </c>
      <c r="J49" s="86">
        <v>1100.0</v>
      </c>
      <c r="K49" s="86">
        <v>1000.0</v>
      </c>
      <c r="L49" s="86">
        <v>1000.0</v>
      </c>
      <c r="M49" s="86">
        <v>1000.0</v>
      </c>
      <c r="N49" s="86">
        <v>800.0</v>
      </c>
      <c r="O49" s="86">
        <v>800.0</v>
      </c>
      <c r="P49" s="86">
        <v>1000.0</v>
      </c>
      <c r="Q49" s="86">
        <v>1100.0</v>
      </c>
      <c r="R49" s="24"/>
      <c r="S49" s="24"/>
      <c r="T49" s="24"/>
      <c r="U49" s="24">
        <f t="shared" si="3"/>
        <v>12200</v>
      </c>
    </row>
    <row r="50" ht="30.0" customHeight="1">
      <c r="A50" s="26">
        <v>45467.0</v>
      </c>
      <c r="B50" s="86">
        <v>800.0</v>
      </c>
      <c r="C50" s="24"/>
      <c r="D50" s="86">
        <v>800.0</v>
      </c>
      <c r="E50" s="24"/>
      <c r="F50" s="86">
        <v>1000.0</v>
      </c>
      <c r="G50" s="24"/>
      <c r="H50" s="86">
        <v>1000.0</v>
      </c>
      <c r="I50" s="86">
        <v>800.0</v>
      </c>
      <c r="J50" s="86">
        <v>1100.0</v>
      </c>
      <c r="K50" s="86">
        <v>1000.0</v>
      </c>
      <c r="L50" s="86">
        <v>1000.0</v>
      </c>
      <c r="M50" s="86">
        <v>1000.0</v>
      </c>
      <c r="N50" s="86">
        <v>800.0</v>
      </c>
      <c r="O50" s="86">
        <v>800.0</v>
      </c>
      <c r="P50" s="86">
        <v>1000.0</v>
      </c>
      <c r="Q50" s="86">
        <v>1100.0</v>
      </c>
      <c r="R50" s="24"/>
      <c r="S50" s="24"/>
      <c r="T50" s="24"/>
      <c r="U50" s="24">
        <f t="shared" si="3"/>
        <v>12200</v>
      </c>
    </row>
    <row r="51" ht="30.0" customHeight="1">
      <c r="A51" s="26">
        <v>45497.0</v>
      </c>
      <c r="B51" s="86">
        <v>800.0</v>
      </c>
      <c r="C51" s="24"/>
      <c r="D51" s="86">
        <v>800.0</v>
      </c>
      <c r="E51" s="24"/>
      <c r="F51" s="86">
        <v>1000.0</v>
      </c>
      <c r="G51" s="24"/>
      <c r="H51" s="24"/>
      <c r="I51" s="24"/>
      <c r="J51" s="86">
        <v>1100.0</v>
      </c>
      <c r="K51" s="86">
        <v>1000.0</v>
      </c>
      <c r="L51" s="86">
        <v>1000.0</v>
      </c>
      <c r="M51" s="86">
        <v>1000.0</v>
      </c>
      <c r="N51" s="86">
        <v>800.0</v>
      </c>
      <c r="O51" s="86">
        <v>800.0</v>
      </c>
      <c r="P51" s="86">
        <v>1000.0</v>
      </c>
      <c r="Q51" s="86">
        <v>1100.0</v>
      </c>
      <c r="R51" s="24"/>
      <c r="S51" s="24"/>
      <c r="T51" s="24"/>
      <c r="U51" s="24">
        <f t="shared" si="3"/>
        <v>10400</v>
      </c>
    </row>
    <row r="52" ht="30.0" customHeight="1">
      <c r="A52" s="26">
        <v>45528.0</v>
      </c>
      <c r="B52" s="86">
        <v>800.0</v>
      </c>
      <c r="C52" s="24"/>
      <c r="D52" s="86">
        <v>800.0</v>
      </c>
      <c r="E52" s="24"/>
      <c r="F52" s="86">
        <v>1000.0</v>
      </c>
      <c r="G52" s="24"/>
      <c r="H52" s="24"/>
      <c r="I52" s="24"/>
      <c r="J52" s="86">
        <v>1100.0</v>
      </c>
      <c r="K52" s="86">
        <v>1000.0</v>
      </c>
      <c r="L52" s="86">
        <v>1000.0</v>
      </c>
      <c r="M52" s="86">
        <v>1000.0</v>
      </c>
      <c r="N52" s="86">
        <v>800.0</v>
      </c>
      <c r="O52" s="86">
        <v>800.0</v>
      </c>
      <c r="P52" s="86">
        <v>1000.0</v>
      </c>
      <c r="Q52" s="86">
        <v>1100.0</v>
      </c>
      <c r="R52" s="24"/>
      <c r="S52" s="24"/>
      <c r="T52" s="24"/>
      <c r="U52" s="24">
        <f t="shared" si="3"/>
        <v>10400</v>
      </c>
    </row>
    <row r="53" ht="30.0" customHeight="1">
      <c r="A53" s="26">
        <v>45559.0</v>
      </c>
      <c r="B53" s="24"/>
      <c r="C53" s="24"/>
      <c r="D53" s="86">
        <v>800.0</v>
      </c>
      <c r="E53" s="86"/>
      <c r="F53" s="86">
        <v>1000.0</v>
      </c>
      <c r="G53" s="24"/>
      <c r="H53" s="24"/>
      <c r="I53" s="24"/>
      <c r="J53" s="86">
        <v>1100.0</v>
      </c>
      <c r="K53" s="86">
        <v>1000.0</v>
      </c>
      <c r="L53" s="86">
        <v>1000.0</v>
      </c>
      <c r="M53" s="86">
        <v>1000.0</v>
      </c>
      <c r="N53" s="86">
        <v>800.0</v>
      </c>
      <c r="O53" s="86">
        <v>800.0</v>
      </c>
      <c r="P53" s="86">
        <v>1000.0</v>
      </c>
      <c r="Q53" s="86">
        <v>1100.0</v>
      </c>
      <c r="R53" s="24"/>
      <c r="S53" s="24"/>
      <c r="T53" s="24"/>
      <c r="U53" s="24">
        <f t="shared" si="3"/>
        <v>9600</v>
      </c>
    </row>
    <row r="54" ht="30.0" customHeight="1">
      <c r="A54" s="26">
        <v>45589.0</v>
      </c>
      <c r="B54" s="24"/>
      <c r="C54" s="24"/>
      <c r="D54" s="86">
        <v>800.0</v>
      </c>
      <c r="E54" s="86"/>
      <c r="F54" s="86">
        <v>1000.0</v>
      </c>
      <c r="G54" s="24"/>
      <c r="H54" s="24"/>
      <c r="I54" s="24"/>
      <c r="J54" s="86">
        <v>1100.0</v>
      </c>
      <c r="K54" s="86">
        <v>1000.0</v>
      </c>
      <c r="L54" s="86">
        <v>1000.0</v>
      </c>
      <c r="M54" s="86">
        <v>1000.0</v>
      </c>
      <c r="N54" s="86">
        <v>800.0</v>
      </c>
      <c r="O54" s="86">
        <v>800.0</v>
      </c>
      <c r="P54" s="86">
        <v>1000.0</v>
      </c>
      <c r="Q54" s="86">
        <v>1100.0</v>
      </c>
      <c r="R54" s="24"/>
      <c r="S54" s="24"/>
      <c r="T54" s="24"/>
      <c r="U54" s="24">
        <f t="shared" si="3"/>
        <v>9600</v>
      </c>
    </row>
    <row r="55" ht="30.0" customHeight="1">
      <c r="A55" s="26">
        <v>45620.0</v>
      </c>
      <c r="B55" s="24"/>
      <c r="C55" s="24"/>
      <c r="D55" s="86">
        <v>800.0</v>
      </c>
      <c r="E55" s="86"/>
      <c r="F55" s="86">
        <v>1000.0</v>
      </c>
      <c r="G55" s="24"/>
      <c r="H55" s="24"/>
      <c r="I55" s="24"/>
      <c r="J55" s="86">
        <v>1100.0</v>
      </c>
      <c r="K55" s="86">
        <v>1000.0</v>
      </c>
      <c r="L55" s="86">
        <v>1000.0</v>
      </c>
      <c r="M55" s="86">
        <v>1000.0</v>
      </c>
      <c r="N55" s="86">
        <v>800.0</v>
      </c>
      <c r="O55" s="86">
        <v>800.0</v>
      </c>
      <c r="P55" s="86">
        <v>1000.0</v>
      </c>
      <c r="Q55" s="86">
        <v>1100.0</v>
      </c>
      <c r="R55" s="24"/>
      <c r="S55" s="24"/>
      <c r="T55" s="24"/>
      <c r="U55" s="24">
        <f t="shared" si="3"/>
        <v>9600</v>
      </c>
    </row>
    <row r="56" ht="30.0" customHeight="1">
      <c r="A56" s="26">
        <v>45650.0</v>
      </c>
      <c r="B56" s="24"/>
      <c r="C56" s="24"/>
      <c r="D56" s="86">
        <v>800.0</v>
      </c>
      <c r="E56" s="86"/>
      <c r="F56" s="86">
        <v>1000.0</v>
      </c>
      <c r="G56" s="24"/>
      <c r="H56" s="24"/>
      <c r="I56" s="24"/>
      <c r="J56" s="86">
        <v>1100.0</v>
      </c>
      <c r="K56" s="86">
        <v>1000.0</v>
      </c>
      <c r="L56" s="86">
        <v>1000.0</v>
      </c>
      <c r="M56" s="86">
        <v>1000.0</v>
      </c>
      <c r="N56" s="86">
        <v>800.0</v>
      </c>
      <c r="O56" s="86">
        <v>800.0</v>
      </c>
      <c r="P56" s="86">
        <v>1000.0</v>
      </c>
      <c r="Q56" s="86">
        <v>1100.0</v>
      </c>
      <c r="R56" s="24"/>
      <c r="S56" s="24"/>
      <c r="T56" s="24"/>
      <c r="U56" s="24">
        <f t="shared" si="3"/>
        <v>9600</v>
      </c>
    </row>
    <row r="57" ht="30.0" customHeight="1">
      <c r="A57" s="26"/>
      <c r="B57" s="119" t="s">
        <v>293</v>
      </c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4"/>
    </row>
    <row r="58" ht="30.0" customHeight="1">
      <c r="A58" s="26">
        <v>45681.0</v>
      </c>
      <c r="B58" s="86"/>
      <c r="C58" s="24"/>
      <c r="D58" s="86">
        <v>800.0</v>
      </c>
      <c r="E58" s="24"/>
      <c r="F58" s="86">
        <v>1000.0</v>
      </c>
      <c r="G58" s="24"/>
      <c r="H58" s="24"/>
      <c r="I58" s="86"/>
      <c r="J58" s="86">
        <v>1100.0</v>
      </c>
      <c r="K58" s="86">
        <v>1000.0</v>
      </c>
      <c r="L58" s="86">
        <v>1000.0</v>
      </c>
      <c r="M58" s="86">
        <v>1000.0</v>
      </c>
      <c r="N58" s="86">
        <v>800.0</v>
      </c>
      <c r="O58" s="86">
        <v>800.0</v>
      </c>
      <c r="P58" s="86">
        <v>1000.0</v>
      </c>
      <c r="Q58" s="86">
        <v>1100.0</v>
      </c>
      <c r="R58" s="86"/>
      <c r="S58" s="24"/>
      <c r="T58" s="24"/>
      <c r="U58" s="24">
        <f t="shared" ref="U58:U69" si="4">SUM(B58:T58)</f>
        <v>9600</v>
      </c>
    </row>
    <row r="59" ht="30.0" customHeight="1">
      <c r="A59" s="26">
        <v>45712.0</v>
      </c>
      <c r="B59" s="86"/>
      <c r="C59" s="24"/>
      <c r="D59" s="86">
        <v>800.0</v>
      </c>
      <c r="E59" s="24"/>
      <c r="F59" s="86">
        <v>1000.0</v>
      </c>
      <c r="G59" s="24"/>
      <c r="H59" s="24"/>
      <c r="I59" s="86"/>
      <c r="J59" s="86">
        <v>1100.0</v>
      </c>
      <c r="K59" s="86">
        <v>1000.0</v>
      </c>
      <c r="L59" s="86">
        <v>1000.0</v>
      </c>
      <c r="M59" s="86">
        <v>1000.0</v>
      </c>
      <c r="N59" s="86">
        <v>800.0</v>
      </c>
      <c r="O59" s="86">
        <v>800.0</v>
      </c>
      <c r="P59" s="86">
        <v>1000.0</v>
      </c>
      <c r="Q59" s="86">
        <v>1100.0</v>
      </c>
      <c r="R59" s="86"/>
      <c r="S59" s="24"/>
      <c r="T59" s="24"/>
      <c r="U59" s="24">
        <f t="shared" si="4"/>
        <v>9600</v>
      </c>
    </row>
    <row r="60" ht="30.0" customHeight="1">
      <c r="A60" s="26">
        <v>45740.0</v>
      </c>
      <c r="B60" s="86"/>
      <c r="C60" s="24"/>
      <c r="D60" s="86">
        <v>800.0</v>
      </c>
      <c r="E60" s="24"/>
      <c r="F60" s="86">
        <v>1000.0</v>
      </c>
      <c r="G60" s="24"/>
      <c r="H60" s="24"/>
      <c r="I60" s="86"/>
      <c r="J60" s="86">
        <v>1100.0</v>
      </c>
      <c r="K60" s="86">
        <v>1000.0</v>
      </c>
      <c r="L60" s="86">
        <v>1000.0</v>
      </c>
      <c r="M60" s="86">
        <v>1000.0</v>
      </c>
      <c r="N60" s="86">
        <v>800.0</v>
      </c>
      <c r="O60" s="86">
        <v>800.0</v>
      </c>
      <c r="P60" s="86">
        <v>1000.0</v>
      </c>
      <c r="Q60" s="86">
        <v>1100.0</v>
      </c>
      <c r="R60" s="86"/>
      <c r="S60" s="24"/>
      <c r="T60" s="24"/>
      <c r="U60" s="24">
        <f t="shared" si="4"/>
        <v>9600</v>
      </c>
    </row>
    <row r="61" ht="30.0" customHeight="1">
      <c r="A61" s="26">
        <v>45771.0</v>
      </c>
      <c r="B61" s="86"/>
      <c r="C61" s="24"/>
      <c r="D61" s="86">
        <v>800.0</v>
      </c>
      <c r="E61" s="24"/>
      <c r="F61" s="86">
        <v>1000.0</v>
      </c>
      <c r="G61" s="24"/>
      <c r="H61" s="24"/>
      <c r="I61" s="86"/>
      <c r="J61" s="86">
        <v>1100.0</v>
      </c>
      <c r="K61" s="86">
        <v>1000.0</v>
      </c>
      <c r="L61" s="86">
        <v>1000.0</v>
      </c>
      <c r="M61" s="86">
        <v>1000.0</v>
      </c>
      <c r="N61" s="86">
        <v>800.0</v>
      </c>
      <c r="O61" s="86">
        <v>800.0</v>
      </c>
      <c r="P61" s="86">
        <v>1000.0</v>
      </c>
      <c r="Q61" s="86"/>
      <c r="R61" s="86"/>
      <c r="S61" s="24"/>
      <c r="T61" s="24"/>
      <c r="U61" s="24">
        <f t="shared" si="4"/>
        <v>8500</v>
      </c>
    </row>
    <row r="62" ht="30.0" customHeight="1">
      <c r="A62" s="26">
        <v>45801.0</v>
      </c>
      <c r="B62" s="86"/>
      <c r="C62" s="24"/>
      <c r="D62" s="86">
        <v>800.0</v>
      </c>
      <c r="E62" s="24"/>
      <c r="F62" s="86">
        <v>1000.0</v>
      </c>
      <c r="G62" s="24"/>
      <c r="H62" s="24"/>
      <c r="I62" s="86"/>
      <c r="J62" s="86">
        <v>1100.0</v>
      </c>
      <c r="K62" s="86">
        <v>1000.0</v>
      </c>
      <c r="L62" s="86">
        <v>1000.0</v>
      </c>
      <c r="M62" s="86">
        <v>1000.0</v>
      </c>
      <c r="N62" s="86">
        <v>800.0</v>
      </c>
      <c r="O62" s="86">
        <v>800.0</v>
      </c>
      <c r="P62" s="86">
        <v>1000.0</v>
      </c>
      <c r="Q62" s="86"/>
      <c r="R62" s="86"/>
      <c r="S62" s="24"/>
      <c r="T62" s="24"/>
      <c r="U62" s="24">
        <f t="shared" si="4"/>
        <v>8500</v>
      </c>
    </row>
    <row r="63" ht="30.0" customHeight="1">
      <c r="A63" s="26">
        <v>45832.0</v>
      </c>
      <c r="B63" s="86"/>
      <c r="C63" s="24"/>
      <c r="D63" s="86">
        <v>800.0</v>
      </c>
      <c r="E63" s="24"/>
      <c r="F63" s="86">
        <v>1000.0</v>
      </c>
      <c r="G63" s="24"/>
      <c r="H63" s="24"/>
      <c r="I63" s="86"/>
      <c r="J63" s="86">
        <v>1100.0</v>
      </c>
      <c r="K63" s="86">
        <v>1000.0</v>
      </c>
      <c r="L63" s="86">
        <v>1000.0</v>
      </c>
      <c r="M63" s="86">
        <v>1000.0</v>
      </c>
      <c r="N63" s="86">
        <v>800.0</v>
      </c>
      <c r="O63" s="86">
        <v>800.0</v>
      </c>
      <c r="P63" s="86">
        <v>1000.0</v>
      </c>
      <c r="Q63" s="86"/>
      <c r="R63" s="86"/>
      <c r="S63" s="24"/>
      <c r="T63" s="24"/>
      <c r="U63" s="24">
        <f t="shared" si="4"/>
        <v>8500</v>
      </c>
    </row>
    <row r="64" ht="30.0" customHeight="1">
      <c r="A64" s="26">
        <v>45862.0</v>
      </c>
      <c r="B64" s="86"/>
      <c r="C64" s="24"/>
      <c r="D64" s="86">
        <v>800.0</v>
      </c>
      <c r="E64" s="24"/>
      <c r="F64" s="86">
        <v>1000.0</v>
      </c>
      <c r="G64" s="24"/>
      <c r="H64" s="24"/>
      <c r="I64" s="86"/>
      <c r="J64" s="86">
        <v>1100.0</v>
      </c>
      <c r="K64" s="86">
        <v>1000.0</v>
      </c>
      <c r="L64" s="86">
        <v>1000.0</v>
      </c>
      <c r="M64" s="86">
        <v>1000.0</v>
      </c>
      <c r="N64" s="86">
        <v>800.0</v>
      </c>
      <c r="O64" s="86">
        <v>800.0</v>
      </c>
      <c r="P64" s="86">
        <v>1000.0</v>
      </c>
      <c r="Q64" s="86"/>
      <c r="R64" s="86"/>
      <c r="S64" s="24"/>
      <c r="T64" s="24"/>
      <c r="U64" s="24">
        <f t="shared" si="4"/>
        <v>8500</v>
      </c>
    </row>
    <row r="65" ht="30.0" customHeight="1">
      <c r="A65" s="26">
        <v>45893.0</v>
      </c>
      <c r="B65" s="86"/>
      <c r="C65" s="24"/>
      <c r="D65" s="86">
        <v>800.0</v>
      </c>
      <c r="E65" s="24"/>
      <c r="F65" s="86">
        <v>1000.0</v>
      </c>
      <c r="G65" s="24"/>
      <c r="H65" s="24"/>
      <c r="I65" s="86"/>
      <c r="J65" s="86">
        <v>1100.0</v>
      </c>
      <c r="K65" s="86">
        <v>1000.0</v>
      </c>
      <c r="L65" s="86">
        <v>1000.0</v>
      </c>
      <c r="M65" s="86">
        <v>1000.0</v>
      </c>
      <c r="N65" s="86">
        <v>800.0</v>
      </c>
      <c r="O65" s="86">
        <v>800.0</v>
      </c>
      <c r="P65" s="86">
        <v>1000.0</v>
      </c>
      <c r="Q65" s="86"/>
      <c r="R65" s="86"/>
      <c r="S65" s="24"/>
      <c r="T65" s="24"/>
      <c r="U65" s="24">
        <f t="shared" si="4"/>
        <v>8500</v>
      </c>
    </row>
    <row r="66" ht="30.0" customHeight="1">
      <c r="A66" s="26">
        <v>45924.0</v>
      </c>
      <c r="B66" s="86"/>
      <c r="C66" s="24"/>
      <c r="D66" s="86">
        <v>800.0</v>
      </c>
      <c r="E66" s="24"/>
      <c r="F66" s="86">
        <v>1000.0</v>
      </c>
      <c r="G66" s="24"/>
      <c r="H66" s="24"/>
      <c r="I66" s="86"/>
      <c r="J66" s="86">
        <v>1100.0</v>
      </c>
      <c r="K66" s="86">
        <v>1000.0</v>
      </c>
      <c r="L66" s="86">
        <v>1000.0</v>
      </c>
      <c r="M66" s="86">
        <v>1000.0</v>
      </c>
      <c r="N66" s="86">
        <v>800.0</v>
      </c>
      <c r="O66" s="86">
        <v>800.0</v>
      </c>
      <c r="P66" s="86">
        <v>1000.0</v>
      </c>
      <c r="Q66" s="86"/>
      <c r="R66" s="86"/>
      <c r="S66" s="24"/>
      <c r="T66" s="24"/>
      <c r="U66" s="24">
        <f t="shared" si="4"/>
        <v>8500</v>
      </c>
    </row>
    <row r="67" ht="30.0" customHeight="1">
      <c r="A67" s="26">
        <v>45954.0</v>
      </c>
      <c r="B67" s="86"/>
      <c r="C67" s="24"/>
      <c r="D67" s="86">
        <v>800.0</v>
      </c>
      <c r="E67" s="24"/>
      <c r="F67" s="86">
        <v>1000.0</v>
      </c>
      <c r="G67" s="24"/>
      <c r="H67" s="24"/>
      <c r="I67" s="86"/>
      <c r="J67" s="86">
        <v>1100.0</v>
      </c>
      <c r="K67" s="86">
        <v>1000.0</v>
      </c>
      <c r="L67" s="86">
        <v>1000.0</v>
      </c>
      <c r="M67" s="86">
        <v>1000.0</v>
      </c>
      <c r="N67" s="86">
        <v>800.0</v>
      </c>
      <c r="O67" s="86">
        <v>800.0</v>
      </c>
      <c r="P67" s="86">
        <v>1000.0</v>
      </c>
      <c r="Q67" s="86"/>
      <c r="R67" s="86"/>
      <c r="S67" s="86">
        <v>800.0</v>
      </c>
      <c r="T67" s="24"/>
      <c r="U67" s="24">
        <f t="shared" si="4"/>
        <v>9300</v>
      </c>
    </row>
    <row r="68" ht="30.0" customHeight="1">
      <c r="A68" s="26">
        <v>45985.0</v>
      </c>
      <c r="B68" s="24"/>
      <c r="C68" s="24"/>
      <c r="D68" s="86">
        <v>800.0</v>
      </c>
      <c r="E68" s="24"/>
      <c r="F68" s="86">
        <v>1000.0</v>
      </c>
      <c r="G68" s="24"/>
      <c r="H68" s="24"/>
      <c r="I68" s="24"/>
      <c r="J68" s="86">
        <v>1100.0</v>
      </c>
      <c r="K68" s="86">
        <v>1000.0</v>
      </c>
      <c r="L68" s="86">
        <v>1000.0</v>
      </c>
      <c r="M68" s="86">
        <v>1000.0</v>
      </c>
      <c r="N68" s="86">
        <v>800.0</v>
      </c>
      <c r="O68" s="86">
        <v>800.0</v>
      </c>
      <c r="P68" s="86">
        <v>1000.0</v>
      </c>
      <c r="Q68" s="24"/>
      <c r="R68" s="24"/>
      <c r="S68" s="86">
        <v>800.0</v>
      </c>
      <c r="T68" s="24"/>
      <c r="U68" s="24">
        <f t="shared" si="4"/>
        <v>9300</v>
      </c>
    </row>
    <row r="69" ht="30.0" customHeight="1">
      <c r="A69" s="26">
        <v>46015.0</v>
      </c>
      <c r="B69" s="24"/>
      <c r="C69" s="24"/>
      <c r="D69" s="86"/>
      <c r="E69" s="24"/>
      <c r="F69" s="86">
        <v>1000.0</v>
      </c>
      <c r="G69" s="24"/>
      <c r="H69" s="24"/>
      <c r="I69" s="24"/>
      <c r="J69" s="86">
        <v>1100.0</v>
      </c>
      <c r="K69" s="86">
        <v>1000.0</v>
      </c>
      <c r="L69" s="86">
        <v>1000.0</v>
      </c>
      <c r="M69" s="86">
        <v>1000.0</v>
      </c>
      <c r="N69" s="86">
        <v>800.0</v>
      </c>
      <c r="O69" s="86">
        <v>800.0</v>
      </c>
      <c r="P69" s="24"/>
      <c r="Q69" s="24"/>
      <c r="R69" s="24"/>
      <c r="S69" s="86">
        <v>800.0</v>
      </c>
      <c r="T69" s="86">
        <v>1100.0</v>
      </c>
      <c r="U69" s="24">
        <f t="shared" si="4"/>
        <v>8600</v>
      </c>
    </row>
    <row r="70" ht="30.0" customHeight="1">
      <c r="A70" s="26"/>
      <c r="B70" s="119">
        <v>2026.0</v>
      </c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4"/>
    </row>
    <row r="71" ht="30.0" customHeight="1">
      <c r="A71" s="26">
        <v>46048.0</v>
      </c>
      <c r="B71" s="24"/>
      <c r="C71" s="24"/>
      <c r="D71" s="24"/>
      <c r="E71" s="24"/>
      <c r="F71" s="86">
        <v>1000.0</v>
      </c>
      <c r="G71" s="24"/>
      <c r="H71" s="24"/>
      <c r="I71" s="24"/>
      <c r="J71" s="86">
        <v>1100.0</v>
      </c>
      <c r="K71" s="86">
        <v>1000.0</v>
      </c>
      <c r="L71" s="86">
        <v>1000.0</v>
      </c>
      <c r="M71" s="86">
        <v>1000.0</v>
      </c>
      <c r="N71" s="86">
        <v>800.0</v>
      </c>
      <c r="O71" s="86">
        <v>800.0</v>
      </c>
      <c r="P71" s="24"/>
      <c r="Q71" s="24"/>
      <c r="R71" s="24"/>
      <c r="S71" s="86">
        <v>800.0</v>
      </c>
      <c r="T71" s="86">
        <v>1100.0</v>
      </c>
      <c r="U71" s="24">
        <f t="shared" ref="U71:U83" si="5">SUM(B71:T71)</f>
        <v>8600</v>
      </c>
    </row>
    <row r="72" ht="30.0" customHeight="1">
      <c r="A72" s="26">
        <v>46079.0</v>
      </c>
      <c r="B72" s="24"/>
      <c r="C72" s="24"/>
      <c r="D72" s="24"/>
      <c r="E72" s="24"/>
      <c r="F72" s="86">
        <v>1000.0</v>
      </c>
      <c r="G72" s="24"/>
      <c r="H72" s="24"/>
      <c r="I72" s="24"/>
      <c r="J72" s="86">
        <v>1100.0</v>
      </c>
      <c r="K72" s="86">
        <v>1000.0</v>
      </c>
      <c r="L72" s="86">
        <v>1000.0</v>
      </c>
      <c r="M72" s="86">
        <v>1000.0</v>
      </c>
      <c r="N72" s="86">
        <v>800.0</v>
      </c>
      <c r="O72" s="86">
        <v>800.0</v>
      </c>
      <c r="P72" s="24"/>
      <c r="Q72" s="24"/>
      <c r="R72" s="24"/>
      <c r="S72" s="86">
        <v>800.0</v>
      </c>
      <c r="T72" s="86">
        <v>1100.0</v>
      </c>
      <c r="U72" s="24">
        <f t="shared" si="5"/>
        <v>8600</v>
      </c>
    </row>
    <row r="73" ht="30.0" customHeight="1">
      <c r="A73" s="26">
        <v>46107.0</v>
      </c>
      <c r="B73" s="24"/>
      <c r="C73" s="24"/>
      <c r="D73" s="24"/>
      <c r="E73" s="24"/>
      <c r="F73" s="86">
        <v>1000.0</v>
      </c>
      <c r="G73" s="24"/>
      <c r="H73" s="24"/>
      <c r="I73" s="24"/>
      <c r="J73" s="86">
        <v>1100.0</v>
      </c>
      <c r="K73" s="86">
        <v>1000.0</v>
      </c>
      <c r="L73" s="86">
        <v>1000.0</v>
      </c>
      <c r="M73" s="86">
        <v>1000.0</v>
      </c>
      <c r="N73" s="24"/>
      <c r="O73" s="86">
        <v>800.0</v>
      </c>
      <c r="P73" s="24"/>
      <c r="Q73" s="24"/>
      <c r="R73" s="24"/>
      <c r="S73" s="86">
        <v>800.0</v>
      </c>
      <c r="T73" s="86">
        <v>1100.0</v>
      </c>
      <c r="U73" s="24">
        <f t="shared" si="5"/>
        <v>7800</v>
      </c>
    </row>
    <row r="74" ht="30.0" customHeight="1">
      <c r="A74" s="26">
        <v>46138.0</v>
      </c>
      <c r="B74" s="24"/>
      <c r="C74" s="24"/>
      <c r="D74" s="24"/>
      <c r="E74" s="24"/>
      <c r="F74" s="86">
        <v>1000.0</v>
      </c>
      <c r="G74" s="24"/>
      <c r="H74" s="24"/>
      <c r="I74" s="24"/>
      <c r="J74" s="86">
        <v>1100.0</v>
      </c>
      <c r="K74" s="86">
        <v>1000.0</v>
      </c>
      <c r="L74" s="24"/>
      <c r="M74" s="86">
        <v>1000.0</v>
      </c>
      <c r="N74" s="24"/>
      <c r="O74" s="24"/>
      <c r="P74" s="24"/>
      <c r="Q74" s="24"/>
      <c r="R74" s="24"/>
      <c r="S74" s="86">
        <v>800.0</v>
      </c>
      <c r="T74" s="24"/>
      <c r="U74" s="24">
        <f t="shared" si="5"/>
        <v>4900</v>
      </c>
    </row>
    <row r="75" ht="30.0" customHeight="1">
      <c r="A75" s="26">
        <v>46168.0</v>
      </c>
      <c r="B75" s="24"/>
      <c r="C75" s="24"/>
      <c r="D75" s="24"/>
      <c r="E75" s="24"/>
      <c r="F75" s="86">
        <v>1000.0</v>
      </c>
      <c r="G75" s="24"/>
      <c r="H75" s="24"/>
      <c r="I75" s="24"/>
      <c r="J75" s="86">
        <v>1100.0</v>
      </c>
      <c r="K75" s="86">
        <v>1000.0</v>
      </c>
      <c r="L75" s="24"/>
      <c r="M75" s="86"/>
      <c r="N75" s="24"/>
      <c r="O75" s="24"/>
      <c r="P75" s="24"/>
      <c r="Q75" s="24"/>
      <c r="R75" s="24"/>
      <c r="S75" s="24"/>
      <c r="T75" s="24"/>
      <c r="U75" s="24">
        <f t="shared" si="5"/>
        <v>3100</v>
      </c>
    </row>
    <row r="76" ht="30.0" customHeight="1">
      <c r="A76" s="26">
        <v>46199.0</v>
      </c>
      <c r="B76" s="24"/>
      <c r="C76" s="24"/>
      <c r="D76" s="24"/>
      <c r="E76" s="24"/>
      <c r="F76" s="24"/>
      <c r="G76" s="24"/>
      <c r="H76" s="24"/>
      <c r="I76" s="24"/>
      <c r="J76" s="24"/>
      <c r="K76" s="86">
        <v>1000.0</v>
      </c>
      <c r="L76" s="24"/>
      <c r="M76" s="86"/>
      <c r="N76" s="24"/>
      <c r="O76" s="24"/>
      <c r="P76" s="24"/>
      <c r="Q76" s="24"/>
      <c r="R76" s="24"/>
      <c r="S76" s="24"/>
      <c r="T76" s="24"/>
      <c r="U76" s="24">
        <f t="shared" si="5"/>
        <v>1000</v>
      </c>
    </row>
    <row r="77" ht="30.0" customHeight="1">
      <c r="A77" s="26">
        <v>46229.0</v>
      </c>
      <c r="B77" s="24"/>
      <c r="C77" s="24"/>
      <c r="D77" s="24"/>
      <c r="E77" s="24"/>
      <c r="F77" s="24"/>
      <c r="G77" s="24"/>
      <c r="H77" s="24"/>
      <c r="I77" s="24"/>
      <c r="J77" s="24"/>
      <c r="K77" s="86">
        <v>1000.0</v>
      </c>
      <c r="L77" s="24"/>
      <c r="M77" s="86"/>
      <c r="N77" s="24"/>
      <c r="O77" s="24"/>
      <c r="P77" s="24"/>
      <c r="Q77" s="24"/>
      <c r="R77" s="24"/>
      <c r="S77" s="24"/>
      <c r="T77" s="24"/>
      <c r="U77" s="24">
        <f t="shared" si="5"/>
        <v>1000</v>
      </c>
    </row>
    <row r="78" ht="30.0" customHeight="1">
      <c r="A78" s="26">
        <v>46260.0</v>
      </c>
      <c r="B78" s="24"/>
      <c r="C78" s="24"/>
      <c r="D78" s="24"/>
      <c r="E78" s="24"/>
      <c r="F78" s="24"/>
      <c r="G78" s="24"/>
      <c r="H78" s="24"/>
      <c r="I78" s="24"/>
      <c r="J78" s="24"/>
      <c r="K78" s="86">
        <v>1000.0</v>
      </c>
      <c r="L78" s="24"/>
      <c r="M78" s="86"/>
      <c r="N78" s="24"/>
      <c r="O78" s="24"/>
      <c r="P78" s="24"/>
      <c r="Q78" s="24"/>
      <c r="R78" s="24"/>
      <c r="S78" s="24"/>
      <c r="T78" s="24"/>
      <c r="U78" s="24">
        <f t="shared" si="5"/>
        <v>1000</v>
      </c>
    </row>
    <row r="79" ht="30.0" customHeight="1">
      <c r="A79" s="26">
        <v>46291.0</v>
      </c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86"/>
      <c r="N79" s="24"/>
      <c r="O79" s="24"/>
      <c r="P79" s="24"/>
      <c r="Q79" s="24"/>
      <c r="R79" s="24"/>
      <c r="S79" s="24"/>
      <c r="T79" s="24"/>
      <c r="U79" s="24">
        <f t="shared" si="5"/>
        <v>0</v>
      </c>
    </row>
    <row r="80" ht="30.0" customHeight="1">
      <c r="A80" s="26">
        <v>46321.0</v>
      </c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86"/>
      <c r="N80" s="24"/>
      <c r="O80" s="24"/>
      <c r="P80" s="24"/>
      <c r="Q80" s="24"/>
      <c r="R80" s="24"/>
      <c r="S80" s="24"/>
      <c r="T80" s="24"/>
      <c r="U80" s="24">
        <f t="shared" si="5"/>
        <v>0</v>
      </c>
    </row>
    <row r="81" ht="30.0" customHeight="1">
      <c r="A81" s="26">
        <v>46352.0</v>
      </c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86"/>
      <c r="N81" s="24"/>
      <c r="O81" s="24"/>
      <c r="P81" s="24"/>
      <c r="Q81" s="24"/>
      <c r="R81" s="24"/>
      <c r="S81" s="24"/>
      <c r="T81" s="24"/>
      <c r="U81" s="24">
        <f t="shared" si="5"/>
        <v>0</v>
      </c>
    </row>
    <row r="82" ht="30.0" customHeight="1">
      <c r="A82" s="26">
        <v>46382.0</v>
      </c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86"/>
      <c r="N82" s="24"/>
      <c r="O82" s="24"/>
      <c r="P82" s="24"/>
      <c r="Q82" s="24"/>
      <c r="R82" s="24"/>
      <c r="S82" s="24"/>
      <c r="T82" s="24"/>
      <c r="U82" s="24">
        <f t="shared" si="5"/>
        <v>0</v>
      </c>
    </row>
    <row r="83" ht="30.0" customHeight="1">
      <c r="A83" s="27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>
        <f t="shared" si="5"/>
        <v>0</v>
      </c>
    </row>
    <row r="84" ht="30.0" customHeight="1">
      <c r="A84" s="27" t="s">
        <v>9</v>
      </c>
      <c r="B84" s="24">
        <f t="shared" ref="B84:T84" si="6">SUM(B5:B82)</f>
        <v>19626</v>
      </c>
      <c r="C84" s="24">
        <f t="shared" si="6"/>
        <v>27300</v>
      </c>
      <c r="D84" s="24">
        <f t="shared" si="6"/>
        <v>40300</v>
      </c>
      <c r="E84" s="24">
        <f t="shared" si="6"/>
        <v>2200</v>
      </c>
      <c r="F84" s="24">
        <f t="shared" si="6"/>
        <v>48240</v>
      </c>
      <c r="G84" s="24">
        <f t="shared" si="6"/>
        <v>22800</v>
      </c>
      <c r="H84" s="24">
        <f t="shared" si="6"/>
        <v>27550</v>
      </c>
      <c r="I84" s="24">
        <f t="shared" si="6"/>
        <v>27100</v>
      </c>
      <c r="J84" s="24">
        <f t="shared" si="6"/>
        <v>63700</v>
      </c>
      <c r="K84" s="24">
        <f t="shared" si="6"/>
        <v>56750</v>
      </c>
      <c r="L84" s="24">
        <f t="shared" si="6"/>
        <v>51780</v>
      </c>
      <c r="M84" s="24">
        <f t="shared" si="6"/>
        <v>47200</v>
      </c>
      <c r="N84" s="24">
        <f t="shared" si="6"/>
        <v>42900</v>
      </c>
      <c r="O84" s="24">
        <f t="shared" si="6"/>
        <v>42300</v>
      </c>
      <c r="P84" s="24">
        <f t="shared" si="6"/>
        <v>32000</v>
      </c>
      <c r="Q84" s="24">
        <f t="shared" si="6"/>
        <v>29700</v>
      </c>
      <c r="R84" s="24">
        <f t="shared" si="6"/>
        <v>16500</v>
      </c>
      <c r="S84" s="24">
        <f t="shared" si="6"/>
        <v>5600</v>
      </c>
      <c r="T84" s="24">
        <f t="shared" si="6"/>
        <v>4400</v>
      </c>
      <c r="U84" s="24">
        <f>SUM(U5:U83)</f>
        <v>605920</v>
      </c>
    </row>
    <row r="85" ht="30.0" customHeight="1">
      <c r="A85" s="27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</row>
    <row r="86" ht="30.0" customHeight="1">
      <c r="A86" s="27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</row>
    <row r="87" ht="30.0" customHeight="1">
      <c r="A87" s="27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</row>
    <row r="88" ht="30.0" customHeight="1">
      <c r="A88" s="27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</row>
    <row r="89" ht="30.0" customHeight="1">
      <c r="A89" s="27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</row>
    <row r="90" ht="30.0" customHeight="1">
      <c r="A90" s="27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</row>
    <row r="91" ht="30.0" customHeight="1">
      <c r="A91" s="27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</row>
    <row r="92" ht="30.0" customHeight="1">
      <c r="A92" s="27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</row>
    <row r="93" ht="30.0" customHeight="1">
      <c r="A93" s="27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</row>
    <row r="94" ht="30.0" customHeight="1">
      <c r="A94" s="27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</row>
    <row r="95" ht="15.75" customHeight="1">
      <c r="A95" s="27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</row>
    <row r="96" ht="15.75" customHeight="1">
      <c r="A96" s="29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</sheetData>
  <mergeCells count="4">
    <mergeCell ref="B31:U31"/>
    <mergeCell ref="B44:U44"/>
    <mergeCell ref="B57:U57"/>
    <mergeCell ref="B70:U70"/>
  </mergeCells>
  <conditionalFormatting sqref="U84">
    <cfRule type="expression" dxfId="0" priority="1">
      <formula>SUM(U7:U83)=SUM(F84:T84)</formula>
    </cfRule>
  </conditionalFormatting>
  <conditionalFormatting sqref="U84">
    <cfRule type="expression" dxfId="1" priority="2">
      <formula>SUM(U7:U83)&lt;&gt;SUM(F84:T84)</formula>
    </cfRule>
  </conditionalFormatting>
  <printOptions/>
  <pageMargins bottom="0.75" footer="0.0" header="0.0" left="0.25" right="0.25" top="0.75"/>
  <pageSetup fitToHeight="0" paperSize="8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6.0"/>
    <col customWidth="1" min="3" max="3" width="29.0"/>
    <col customWidth="1" min="4" max="4" width="23.43"/>
    <col customWidth="1" min="5" max="5" width="24.86"/>
    <col customWidth="1" min="6" max="26" width="8.71"/>
  </cols>
  <sheetData>
    <row r="1">
      <c r="A1" s="120" t="s">
        <v>294</v>
      </c>
      <c r="B1" s="2"/>
      <c r="C1" s="3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</row>
    <row r="3">
      <c r="B3" s="21" t="s">
        <v>295</v>
      </c>
      <c r="C3" s="22" t="s">
        <v>296</v>
      </c>
      <c r="D3" s="22" t="s">
        <v>297</v>
      </c>
      <c r="E3" s="22" t="s">
        <v>298</v>
      </c>
    </row>
    <row r="4">
      <c r="B4" s="122" t="s">
        <v>299</v>
      </c>
      <c r="C4" s="68" t="s">
        <v>300</v>
      </c>
      <c r="D4" s="61">
        <v>350.0</v>
      </c>
      <c r="E4" s="123">
        <v>44713.0</v>
      </c>
    </row>
    <row r="5">
      <c r="B5" s="122" t="s">
        <v>299</v>
      </c>
      <c r="C5" s="68" t="s">
        <v>301</v>
      </c>
      <c r="D5" s="61">
        <v>350.0</v>
      </c>
      <c r="E5" s="123">
        <v>44835.0</v>
      </c>
    </row>
    <row r="6">
      <c r="B6" s="122">
        <v>102.0</v>
      </c>
      <c r="C6" s="61" t="s">
        <v>302</v>
      </c>
      <c r="D6" s="61">
        <v>775.0</v>
      </c>
      <c r="E6" s="124">
        <v>43466.0</v>
      </c>
    </row>
    <row r="7">
      <c r="B7" s="125" t="s">
        <v>303</v>
      </c>
      <c r="C7" s="68" t="s">
        <v>300</v>
      </c>
      <c r="D7" s="68">
        <v>550.0</v>
      </c>
      <c r="E7" s="123">
        <v>44713.0</v>
      </c>
    </row>
    <row r="8">
      <c r="B8" s="122" t="s">
        <v>304</v>
      </c>
      <c r="C8" s="68" t="s">
        <v>300</v>
      </c>
      <c r="D8" s="61">
        <v>560.0</v>
      </c>
      <c r="E8" s="123">
        <v>44774.0</v>
      </c>
    </row>
    <row r="9">
      <c r="B9" s="122" t="s">
        <v>305</v>
      </c>
      <c r="C9" s="68" t="s">
        <v>300</v>
      </c>
      <c r="D9" s="61">
        <v>400.0</v>
      </c>
      <c r="E9" s="123">
        <v>44713.0</v>
      </c>
    </row>
    <row r="10">
      <c r="B10" s="125" t="s">
        <v>306</v>
      </c>
      <c r="C10" s="68" t="s">
        <v>307</v>
      </c>
      <c r="D10" s="68">
        <v>570.0</v>
      </c>
      <c r="E10" s="68" t="s">
        <v>308</v>
      </c>
    </row>
    <row r="11">
      <c r="B11" s="125" t="s">
        <v>309</v>
      </c>
      <c r="C11" s="68" t="s">
        <v>307</v>
      </c>
      <c r="D11" s="68">
        <v>550.0</v>
      </c>
      <c r="E11" s="68" t="s">
        <v>308</v>
      </c>
    </row>
    <row r="12">
      <c r="B12" s="122" t="s">
        <v>310</v>
      </c>
      <c r="C12" s="61" t="s">
        <v>311</v>
      </c>
      <c r="D12" s="61">
        <v>350.0</v>
      </c>
      <c r="E12" s="124">
        <v>43831.0</v>
      </c>
    </row>
    <row r="13">
      <c r="B13" s="125" t="s">
        <v>312</v>
      </c>
      <c r="C13" s="68" t="s">
        <v>300</v>
      </c>
      <c r="D13" s="68">
        <v>775.0</v>
      </c>
      <c r="E13" s="123">
        <v>44774.0</v>
      </c>
    </row>
    <row r="14">
      <c r="B14" s="125" t="s">
        <v>312</v>
      </c>
      <c r="C14" s="68" t="s">
        <v>313</v>
      </c>
      <c r="D14" s="68">
        <v>775.0</v>
      </c>
      <c r="E14" s="126">
        <v>45992.0</v>
      </c>
    </row>
    <row r="15">
      <c r="B15" s="122" t="s">
        <v>314</v>
      </c>
      <c r="C15" s="61" t="s">
        <v>315</v>
      </c>
      <c r="D15" s="61">
        <v>550.0</v>
      </c>
      <c r="E15" s="68">
        <v>2019.0</v>
      </c>
    </row>
    <row r="16">
      <c r="B16" s="122" t="s">
        <v>316</v>
      </c>
      <c r="C16" s="61" t="s">
        <v>317</v>
      </c>
      <c r="D16" s="61">
        <v>560.0</v>
      </c>
      <c r="E16" s="68">
        <v>2020.0</v>
      </c>
    </row>
    <row r="17">
      <c r="B17" s="122" t="s">
        <v>318</v>
      </c>
      <c r="C17" s="61" t="s">
        <v>319</v>
      </c>
      <c r="D17" s="61">
        <v>400.0</v>
      </c>
      <c r="E17" s="124">
        <v>43484.0</v>
      </c>
    </row>
    <row r="18">
      <c r="B18" s="122" t="s">
        <v>320</v>
      </c>
      <c r="C18" s="68" t="s">
        <v>300</v>
      </c>
      <c r="D18" s="61">
        <v>570.0</v>
      </c>
      <c r="E18" s="123">
        <v>44743.0</v>
      </c>
    </row>
    <row r="19">
      <c r="B19" s="122" t="s">
        <v>320</v>
      </c>
      <c r="C19" s="68" t="s">
        <v>313</v>
      </c>
      <c r="D19" s="61">
        <v>570.0</v>
      </c>
      <c r="E19" s="123">
        <v>45017.0</v>
      </c>
    </row>
    <row r="20">
      <c r="B20" s="125" t="s">
        <v>320</v>
      </c>
      <c r="C20" s="68" t="s">
        <v>300</v>
      </c>
      <c r="D20" s="68">
        <v>570.0</v>
      </c>
      <c r="E20" s="123">
        <v>45992.0</v>
      </c>
    </row>
    <row r="21">
      <c r="B21" s="122" t="s">
        <v>321</v>
      </c>
      <c r="C21" s="61" t="s">
        <v>322</v>
      </c>
      <c r="D21" s="61">
        <v>550.0</v>
      </c>
      <c r="E21" s="124">
        <v>44531.0</v>
      </c>
    </row>
    <row r="22">
      <c r="B22" s="122" t="s">
        <v>323</v>
      </c>
      <c r="C22" s="61" t="s">
        <v>324</v>
      </c>
      <c r="D22" s="61">
        <v>350.0</v>
      </c>
      <c r="E22" s="124">
        <v>43484.0</v>
      </c>
    </row>
    <row r="23">
      <c r="B23" s="122" t="s">
        <v>325</v>
      </c>
      <c r="C23" s="61" t="s">
        <v>326</v>
      </c>
      <c r="D23" s="61">
        <v>775.0</v>
      </c>
      <c r="E23" s="124">
        <v>43484.0</v>
      </c>
    </row>
    <row r="24">
      <c r="B24" s="122" t="s">
        <v>327</v>
      </c>
      <c r="C24" s="61" t="s">
        <v>328</v>
      </c>
      <c r="D24" s="61">
        <v>550.0</v>
      </c>
      <c r="E24" s="124">
        <v>43770.0</v>
      </c>
    </row>
    <row r="25">
      <c r="B25" s="122" t="s">
        <v>329</v>
      </c>
      <c r="C25" s="68" t="s">
        <v>300</v>
      </c>
      <c r="D25" s="61">
        <v>560.0</v>
      </c>
      <c r="E25" s="123">
        <v>44713.0</v>
      </c>
    </row>
    <row r="26" ht="15.75" customHeight="1">
      <c r="B26" s="122" t="s">
        <v>330</v>
      </c>
      <c r="C26" s="68" t="s">
        <v>300</v>
      </c>
      <c r="D26" s="61">
        <v>400.0</v>
      </c>
      <c r="E26" s="123">
        <v>44713.0</v>
      </c>
    </row>
    <row r="27" ht="15.75" customHeight="1">
      <c r="B27" s="122" t="s">
        <v>331</v>
      </c>
      <c r="C27" s="61" t="s">
        <v>332</v>
      </c>
      <c r="D27" s="61">
        <v>570.0</v>
      </c>
      <c r="E27" s="124">
        <v>43484.0</v>
      </c>
    </row>
    <row r="28" ht="15.75" customHeight="1">
      <c r="B28" s="122" t="s">
        <v>333</v>
      </c>
      <c r="C28" s="61" t="s">
        <v>334</v>
      </c>
      <c r="D28" s="61">
        <v>550.0</v>
      </c>
      <c r="E28" s="124">
        <v>43466.0</v>
      </c>
    </row>
    <row r="29" ht="15.75" customHeight="1">
      <c r="B29" s="122" t="s">
        <v>335</v>
      </c>
      <c r="C29" s="61" t="s">
        <v>336</v>
      </c>
      <c r="D29" s="61">
        <v>350.0</v>
      </c>
      <c r="E29" s="124">
        <v>43484.0</v>
      </c>
    </row>
    <row r="30" ht="15.75" customHeight="1">
      <c r="B30" s="125" t="s">
        <v>337</v>
      </c>
      <c r="C30" s="68" t="s">
        <v>307</v>
      </c>
      <c r="D30" s="68">
        <v>775.0</v>
      </c>
      <c r="E30" s="126">
        <v>44927.0</v>
      </c>
    </row>
    <row r="31" ht="15.75" customHeight="1">
      <c r="B31" s="125" t="s">
        <v>337</v>
      </c>
      <c r="C31" s="68" t="s">
        <v>338</v>
      </c>
      <c r="D31" s="68">
        <v>775.0</v>
      </c>
      <c r="E31" s="126">
        <v>45383.0</v>
      </c>
    </row>
    <row r="32" ht="15.75" customHeight="1">
      <c r="B32" s="125" t="s">
        <v>339</v>
      </c>
      <c r="C32" s="68" t="s">
        <v>307</v>
      </c>
      <c r="D32" s="68">
        <v>550.0</v>
      </c>
      <c r="E32" s="68" t="s">
        <v>308</v>
      </c>
    </row>
    <row r="33" ht="15.75" customHeight="1">
      <c r="B33" s="125" t="s">
        <v>340</v>
      </c>
      <c r="C33" s="68" t="s">
        <v>307</v>
      </c>
      <c r="D33" s="68">
        <v>550.0</v>
      </c>
      <c r="E33" s="68" t="s">
        <v>308</v>
      </c>
    </row>
    <row r="34" ht="15.75" customHeight="1">
      <c r="B34" s="122" t="s">
        <v>341</v>
      </c>
      <c r="C34" s="61" t="s">
        <v>342</v>
      </c>
      <c r="D34" s="61">
        <v>400.0</v>
      </c>
      <c r="E34" s="124">
        <v>43770.0</v>
      </c>
    </row>
    <row r="35" ht="15.75" customHeight="1">
      <c r="B35" s="122" t="s">
        <v>343</v>
      </c>
      <c r="C35" s="68" t="s">
        <v>300</v>
      </c>
      <c r="D35" s="61">
        <v>570.0</v>
      </c>
      <c r="E35" s="123">
        <v>44743.0</v>
      </c>
    </row>
    <row r="36" ht="15.75" customHeight="1">
      <c r="B36" s="122" t="s">
        <v>344</v>
      </c>
      <c r="C36" s="68" t="s">
        <v>300</v>
      </c>
      <c r="D36" s="61">
        <v>550.0</v>
      </c>
      <c r="E36" s="123">
        <v>44713.0</v>
      </c>
    </row>
    <row r="37" ht="15.75" customHeight="1">
      <c r="B37" s="125" t="s">
        <v>345</v>
      </c>
      <c r="C37" s="68" t="s">
        <v>300</v>
      </c>
      <c r="D37" s="68">
        <v>350.0</v>
      </c>
      <c r="E37" s="123">
        <v>44774.0</v>
      </c>
    </row>
    <row r="38" ht="15.75" customHeight="1">
      <c r="B38" s="125" t="s">
        <v>346</v>
      </c>
      <c r="C38" s="68" t="s">
        <v>347</v>
      </c>
      <c r="D38" s="68">
        <v>775.0</v>
      </c>
      <c r="E38" s="126">
        <v>44927.0</v>
      </c>
    </row>
    <row r="39" ht="15.75" customHeight="1">
      <c r="B39" s="122">
        <v>503.0</v>
      </c>
      <c r="C39" s="68" t="s">
        <v>300</v>
      </c>
      <c r="D39" s="61">
        <v>550.0</v>
      </c>
      <c r="E39" s="123">
        <v>44774.0</v>
      </c>
    </row>
    <row r="40" ht="15.75" customHeight="1">
      <c r="B40" s="125" t="s">
        <v>348</v>
      </c>
      <c r="C40" s="68" t="s">
        <v>307</v>
      </c>
      <c r="D40" s="68">
        <v>560.0</v>
      </c>
      <c r="E40" s="68" t="s">
        <v>308</v>
      </c>
    </row>
    <row r="41" ht="15.75" customHeight="1">
      <c r="B41" s="122" t="s">
        <v>349</v>
      </c>
      <c r="C41" s="68" t="s">
        <v>300</v>
      </c>
      <c r="D41" s="61">
        <v>400.0</v>
      </c>
      <c r="E41" s="123">
        <v>44713.0</v>
      </c>
    </row>
    <row r="42" ht="15.75" customHeight="1">
      <c r="B42" s="125" t="s">
        <v>350</v>
      </c>
      <c r="C42" s="68" t="s">
        <v>300</v>
      </c>
      <c r="D42" s="61">
        <v>550.0</v>
      </c>
      <c r="E42" s="123">
        <v>44774.0</v>
      </c>
    </row>
    <row r="43" ht="15.75" customHeight="1">
      <c r="B43" s="125" t="s">
        <v>351</v>
      </c>
      <c r="C43" s="68" t="s">
        <v>307</v>
      </c>
      <c r="D43" s="61">
        <v>550.0</v>
      </c>
      <c r="E43" s="123" t="s">
        <v>308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autoFilter ref="$B$3:$E$43"/>
  <mergeCells count="1">
    <mergeCell ref="A1:C1"/>
  </mergeCells>
  <printOptions/>
  <pageMargins bottom="0.75" footer="0.0" header="0.0" left="0.7" right="0.7" top="0.75"/>
  <pageSetup fitToHeight="0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2" max="2" width="14.0"/>
    <col customWidth="1" min="3" max="3" width="21.71"/>
    <col customWidth="1" min="4" max="4" width="35.57"/>
    <col customWidth="1" min="5" max="5" width="23.57"/>
    <col customWidth="1" min="6" max="6" width="18.86"/>
    <col customWidth="1" min="7" max="7" width="35.71"/>
    <col customWidth="1" min="8" max="8" width="36.43"/>
  </cols>
  <sheetData>
    <row r="2">
      <c r="B2" s="21" t="s">
        <v>295</v>
      </c>
      <c r="C2" s="22" t="s">
        <v>296</v>
      </c>
      <c r="D2" s="22" t="s">
        <v>27</v>
      </c>
      <c r="E2" s="22" t="s">
        <v>352</v>
      </c>
      <c r="F2" s="22" t="s">
        <v>353</v>
      </c>
      <c r="G2" s="85" t="s">
        <v>354</v>
      </c>
      <c r="H2" s="85" t="s">
        <v>355</v>
      </c>
    </row>
    <row r="3">
      <c r="B3" s="122" t="s">
        <v>299</v>
      </c>
      <c r="C3" s="68" t="s">
        <v>356</v>
      </c>
      <c r="D3" s="108">
        <v>800.0</v>
      </c>
      <c r="E3" s="127">
        <v>45383.0</v>
      </c>
      <c r="F3" s="127">
        <v>46054.0</v>
      </c>
      <c r="G3" s="60">
        <f t="shared" ref="G3:G22" si="1">DATEDIF(E3,F3,"M")+1</f>
        <v>23</v>
      </c>
      <c r="H3" s="128">
        <f t="shared" ref="H3:H38" si="2">D3*G3</f>
        <v>18400</v>
      </c>
    </row>
    <row r="4">
      <c r="B4" s="122">
        <v>102.0</v>
      </c>
      <c r="C4" s="68" t="s">
        <v>357</v>
      </c>
      <c r="D4" s="108">
        <v>1100.0</v>
      </c>
      <c r="E4" s="127">
        <v>45292.0</v>
      </c>
      <c r="F4" s="127">
        <v>46054.0</v>
      </c>
      <c r="G4" s="60">
        <f t="shared" si="1"/>
        <v>26</v>
      </c>
      <c r="H4" s="128">
        <f t="shared" si="2"/>
        <v>28600</v>
      </c>
    </row>
    <row r="5">
      <c r="B5" s="125" t="s">
        <v>303</v>
      </c>
      <c r="C5" s="68" t="s">
        <v>300</v>
      </c>
      <c r="D5" s="108">
        <v>1000.0</v>
      </c>
      <c r="E5" s="129">
        <v>45627.0</v>
      </c>
      <c r="F5" s="127">
        <v>46054.0</v>
      </c>
      <c r="G5" s="60">
        <f t="shared" si="1"/>
        <v>15</v>
      </c>
      <c r="H5" s="128">
        <f t="shared" si="2"/>
        <v>15000</v>
      </c>
    </row>
    <row r="6">
      <c r="B6" s="122" t="s">
        <v>304</v>
      </c>
      <c r="C6" s="68" t="s">
        <v>300</v>
      </c>
      <c r="D6" s="108">
        <v>1000.0</v>
      </c>
      <c r="E6" s="129">
        <v>45627.0</v>
      </c>
      <c r="F6" s="127">
        <v>46054.0</v>
      </c>
      <c r="G6" s="60">
        <f t="shared" si="1"/>
        <v>15</v>
      </c>
      <c r="H6" s="128">
        <f t="shared" si="2"/>
        <v>15000</v>
      </c>
    </row>
    <row r="7">
      <c r="B7" s="122" t="s">
        <v>305</v>
      </c>
      <c r="C7" s="68" t="s">
        <v>300</v>
      </c>
      <c r="D7" s="108">
        <v>800.0</v>
      </c>
      <c r="E7" s="129">
        <v>45627.0</v>
      </c>
      <c r="F7" s="127">
        <v>46054.0</v>
      </c>
      <c r="G7" s="60">
        <f t="shared" si="1"/>
        <v>15</v>
      </c>
      <c r="H7" s="128">
        <f t="shared" si="2"/>
        <v>12000</v>
      </c>
    </row>
    <row r="8">
      <c r="B8" s="125" t="s">
        <v>306</v>
      </c>
      <c r="C8" s="68" t="s">
        <v>307</v>
      </c>
      <c r="D8" s="108">
        <v>1000.0</v>
      </c>
      <c r="E8" s="127">
        <v>46054.0</v>
      </c>
      <c r="F8" s="127">
        <v>46054.0</v>
      </c>
      <c r="G8" s="60">
        <f t="shared" si="1"/>
        <v>1</v>
      </c>
      <c r="H8" s="128">
        <f t="shared" si="2"/>
        <v>1000</v>
      </c>
    </row>
    <row r="9">
      <c r="B9" s="125" t="s">
        <v>309</v>
      </c>
      <c r="C9" s="68" t="s">
        <v>307</v>
      </c>
      <c r="D9" s="108">
        <v>1000.0</v>
      </c>
      <c r="E9" s="127">
        <v>46054.0</v>
      </c>
      <c r="F9" s="127">
        <v>46054.0</v>
      </c>
      <c r="G9" s="60">
        <f t="shared" si="1"/>
        <v>1</v>
      </c>
      <c r="H9" s="128">
        <f t="shared" si="2"/>
        <v>1000</v>
      </c>
    </row>
    <row r="10">
      <c r="B10" s="122" t="s">
        <v>310</v>
      </c>
      <c r="C10" s="61" t="s">
        <v>311</v>
      </c>
      <c r="D10" s="108">
        <v>800.0</v>
      </c>
      <c r="E10" s="127">
        <v>45992.0</v>
      </c>
      <c r="F10" s="127">
        <v>46054.0</v>
      </c>
      <c r="G10" s="60">
        <f t="shared" si="1"/>
        <v>3</v>
      </c>
      <c r="H10" s="128">
        <f t="shared" si="2"/>
        <v>2400</v>
      </c>
    </row>
    <row r="11">
      <c r="B11" s="125" t="s">
        <v>312</v>
      </c>
      <c r="C11" s="68" t="s">
        <v>300</v>
      </c>
      <c r="D11" s="108">
        <v>1100.0</v>
      </c>
      <c r="E11" s="127">
        <v>45627.0</v>
      </c>
      <c r="F11" s="127">
        <v>45962.0</v>
      </c>
      <c r="G11" s="60">
        <f t="shared" si="1"/>
        <v>12</v>
      </c>
      <c r="H11" s="128">
        <f t="shared" si="2"/>
        <v>13200</v>
      </c>
    </row>
    <row r="12">
      <c r="B12" s="125" t="s">
        <v>312</v>
      </c>
      <c r="C12" s="68" t="s">
        <v>313</v>
      </c>
      <c r="D12" s="108">
        <v>1100.0</v>
      </c>
      <c r="E12" s="127">
        <v>46054.0</v>
      </c>
      <c r="F12" s="127">
        <v>46054.0</v>
      </c>
      <c r="G12" s="60">
        <f t="shared" si="1"/>
        <v>1</v>
      </c>
      <c r="H12" s="128">
        <f t="shared" si="2"/>
        <v>1100</v>
      </c>
    </row>
    <row r="13">
      <c r="B13" s="122" t="s">
        <v>314</v>
      </c>
      <c r="C13" s="61" t="s">
        <v>315</v>
      </c>
      <c r="D13" s="108">
        <v>1000.0</v>
      </c>
      <c r="E13" s="127">
        <v>44774.0</v>
      </c>
      <c r="F13" s="127">
        <v>46054.0</v>
      </c>
      <c r="G13" s="60">
        <f t="shared" si="1"/>
        <v>43</v>
      </c>
      <c r="H13" s="128">
        <f t="shared" si="2"/>
        <v>43000</v>
      </c>
    </row>
    <row r="14">
      <c r="B14" s="122" t="s">
        <v>316</v>
      </c>
      <c r="C14" s="61" t="s">
        <v>317</v>
      </c>
      <c r="D14" s="108">
        <v>1000.0</v>
      </c>
      <c r="E14" s="127">
        <v>45901.0</v>
      </c>
      <c r="F14" s="127">
        <v>46054.0</v>
      </c>
      <c r="G14" s="60">
        <f t="shared" si="1"/>
        <v>6</v>
      </c>
      <c r="H14" s="128">
        <f t="shared" si="2"/>
        <v>6000</v>
      </c>
    </row>
    <row r="15">
      <c r="B15" s="122" t="s">
        <v>318</v>
      </c>
      <c r="C15" s="61" t="s">
        <v>319</v>
      </c>
      <c r="D15" s="108">
        <v>800.0</v>
      </c>
      <c r="E15" s="127">
        <v>45292.0</v>
      </c>
      <c r="F15" s="127">
        <v>46054.0</v>
      </c>
      <c r="G15" s="60">
        <f t="shared" si="1"/>
        <v>26</v>
      </c>
      <c r="H15" s="128">
        <f t="shared" si="2"/>
        <v>20800</v>
      </c>
    </row>
    <row r="16">
      <c r="B16" s="122" t="s">
        <v>320</v>
      </c>
      <c r="C16" s="68" t="s">
        <v>300</v>
      </c>
      <c r="D16" s="108">
        <v>1000.0</v>
      </c>
      <c r="E16" s="127">
        <v>45992.0</v>
      </c>
      <c r="F16" s="127">
        <v>46054.0</v>
      </c>
      <c r="G16" s="60">
        <f t="shared" si="1"/>
        <v>3</v>
      </c>
      <c r="H16" s="128">
        <f t="shared" si="2"/>
        <v>3000</v>
      </c>
    </row>
    <row r="17">
      <c r="B17" s="122" t="s">
        <v>321</v>
      </c>
      <c r="C17" s="61" t="s">
        <v>322</v>
      </c>
      <c r="D17" s="108">
        <v>1000.0</v>
      </c>
      <c r="E17" s="127">
        <v>45231.0</v>
      </c>
      <c r="F17" s="127">
        <v>46054.0</v>
      </c>
      <c r="G17" s="60">
        <f t="shared" si="1"/>
        <v>28</v>
      </c>
      <c r="H17" s="128">
        <f t="shared" si="2"/>
        <v>28000</v>
      </c>
    </row>
    <row r="18">
      <c r="B18" s="122" t="s">
        <v>323</v>
      </c>
      <c r="C18" s="61" t="s">
        <v>324</v>
      </c>
      <c r="D18" s="108">
        <v>800.0</v>
      </c>
      <c r="E18" s="127">
        <v>45474.0</v>
      </c>
      <c r="F18" s="127">
        <v>46054.0</v>
      </c>
      <c r="G18" s="60">
        <f t="shared" si="1"/>
        <v>20</v>
      </c>
      <c r="H18" s="128">
        <f t="shared" si="2"/>
        <v>16000</v>
      </c>
    </row>
    <row r="19">
      <c r="B19" s="122" t="s">
        <v>325</v>
      </c>
      <c r="C19" s="61" t="s">
        <v>326</v>
      </c>
      <c r="D19" s="108">
        <v>1100.0</v>
      </c>
      <c r="E19" s="127">
        <v>45962.0</v>
      </c>
      <c r="F19" s="127">
        <v>46054.0</v>
      </c>
      <c r="G19" s="60">
        <f t="shared" si="1"/>
        <v>4</v>
      </c>
      <c r="H19" s="128">
        <f t="shared" si="2"/>
        <v>4400</v>
      </c>
    </row>
    <row r="20">
      <c r="B20" s="122" t="s">
        <v>327</v>
      </c>
      <c r="C20" s="61" t="s">
        <v>328</v>
      </c>
      <c r="D20" s="108">
        <v>1000.0</v>
      </c>
      <c r="E20" s="127">
        <v>45536.0</v>
      </c>
      <c r="F20" s="127">
        <v>46054.0</v>
      </c>
      <c r="G20" s="60">
        <f t="shared" si="1"/>
        <v>18</v>
      </c>
      <c r="H20" s="128">
        <f t="shared" si="2"/>
        <v>18000</v>
      </c>
    </row>
    <row r="21">
      <c r="B21" s="122" t="s">
        <v>329</v>
      </c>
      <c r="C21" s="68" t="s">
        <v>300</v>
      </c>
      <c r="D21" s="108">
        <v>1000.0</v>
      </c>
      <c r="E21" s="127">
        <v>45627.0</v>
      </c>
      <c r="F21" s="127">
        <v>46054.0</v>
      </c>
      <c r="G21" s="60">
        <f t="shared" si="1"/>
        <v>15</v>
      </c>
      <c r="H21" s="128">
        <f t="shared" si="2"/>
        <v>15000</v>
      </c>
    </row>
    <row r="22">
      <c r="B22" s="122" t="s">
        <v>330</v>
      </c>
      <c r="C22" s="68" t="s">
        <v>300</v>
      </c>
      <c r="D22" s="108">
        <v>800.0</v>
      </c>
      <c r="E22" s="127">
        <v>45627.0</v>
      </c>
      <c r="F22" s="127">
        <v>46054.0</v>
      </c>
      <c r="G22" s="60">
        <f t="shared" si="1"/>
        <v>15</v>
      </c>
      <c r="H22" s="128">
        <f t="shared" si="2"/>
        <v>12000</v>
      </c>
    </row>
    <row r="23">
      <c r="B23" s="122" t="s">
        <v>331</v>
      </c>
      <c r="C23" s="61" t="s">
        <v>332</v>
      </c>
      <c r="D23" s="108">
        <v>1000.0</v>
      </c>
      <c r="F23" s="127"/>
      <c r="H23" s="128">
        <f t="shared" si="2"/>
        <v>0</v>
      </c>
    </row>
    <row r="24">
      <c r="B24" s="122" t="s">
        <v>333</v>
      </c>
      <c r="C24" s="61" t="s">
        <v>334</v>
      </c>
      <c r="D24" s="108">
        <v>1000.0</v>
      </c>
      <c r="F24" s="127"/>
      <c r="H24" s="128">
        <f t="shared" si="2"/>
        <v>0</v>
      </c>
    </row>
    <row r="25">
      <c r="B25" s="122" t="s">
        <v>335</v>
      </c>
      <c r="C25" s="61" t="s">
        <v>336</v>
      </c>
      <c r="D25" s="108">
        <v>800.0</v>
      </c>
      <c r="E25" s="127">
        <v>45992.0</v>
      </c>
      <c r="F25" s="127">
        <v>46054.0</v>
      </c>
      <c r="G25" s="60">
        <f t="shared" ref="G25:G38" si="3">DATEDIF(E25,F25,"M")+1</f>
        <v>3</v>
      </c>
      <c r="H25" s="128">
        <f t="shared" si="2"/>
        <v>2400</v>
      </c>
    </row>
    <row r="26">
      <c r="B26" s="125" t="s">
        <v>337</v>
      </c>
      <c r="C26" s="68" t="s">
        <v>338</v>
      </c>
      <c r="D26" s="108">
        <v>1100.0</v>
      </c>
      <c r="E26" s="127">
        <v>45383.0</v>
      </c>
      <c r="F26" s="127">
        <v>46054.0</v>
      </c>
      <c r="G26" s="60">
        <f t="shared" si="3"/>
        <v>23</v>
      </c>
      <c r="H26" s="128">
        <f t="shared" si="2"/>
        <v>25300</v>
      </c>
    </row>
    <row r="27">
      <c r="B27" s="125" t="s">
        <v>339</v>
      </c>
      <c r="C27" s="68" t="s">
        <v>307</v>
      </c>
      <c r="D27" s="108">
        <v>1000.0</v>
      </c>
      <c r="E27" s="127">
        <v>46054.0</v>
      </c>
      <c r="F27" s="127">
        <v>46054.0</v>
      </c>
      <c r="G27" s="60">
        <f t="shared" si="3"/>
        <v>1</v>
      </c>
      <c r="H27" s="128">
        <f t="shared" si="2"/>
        <v>1000</v>
      </c>
    </row>
    <row r="28">
      <c r="B28" s="125" t="s">
        <v>340</v>
      </c>
      <c r="C28" s="68" t="s">
        <v>307</v>
      </c>
      <c r="D28" s="108">
        <v>1000.0</v>
      </c>
      <c r="E28" s="127">
        <v>46054.0</v>
      </c>
      <c r="F28" s="127">
        <v>46054.0</v>
      </c>
      <c r="G28" s="60">
        <f t="shared" si="3"/>
        <v>1</v>
      </c>
      <c r="H28" s="128">
        <f t="shared" si="2"/>
        <v>1000</v>
      </c>
    </row>
    <row r="29">
      <c r="B29" s="122" t="s">
        <v>341</v>
      </c>
      <c r="C29" s="61" t="s">
        <v>342</v>
      </c>
      <c r="D29" s="108">
        <v>800.0</v>
      </c>
      <c r="E29" s="127">
        <v>45870.0</v>
      </c>
      <c r="F29" s="127">
        <v>46054.0</v>
      </c>
      <c r="G29" s="60">
        <f t="shared" si="3"/>
        <v>7</v>
      </c>
      <c r="H29" s="128">
        <f t="shared" si="2"/>
        <v>5600</v>
      </c>
    </row>
    <row r="30">
      <c r="B30" s="122" t="s">
        <v>343</v>
      </c>
      <c r="C30" s="68" t="s">
        <v>300</v>
      </c>
      <c r="D30" s="108">
        <v>1000.0</v>
      </c>
      <c r="E30" s="127">
        <v>45627.0</v>
      </c>
      <c r="F30" s="127">
        <v>46054.0</v>
      </c>
      <c r="G30" s="60">
        <f t="shared" si="3"/>
        <v>15</v>
      </c>
      <c r="H30" s="128">
        <f t="shared" si="2"/>
        <v>15000</v>
      </c>
    </row>
    <row r="31">
      <c r="B31" s="122" t="s">
        <v>344</v>
      </c>
      <c r="C31" s="68" t="s">
        <v>300</v>
      </c>
      <c r="D31" s="108">
        <v>1000.0</v>
      </c>
      <c r="E31" s="127">
        <v>45627.0</v>
      </c>
      <c r="F31" s="127">
        <v>46054.0</v>
      </c>
      <c r="G31" s="60">
        <f t="shared" si="3"/>
        <v>15</v>
      </c>
      <c r="H31" s="128">
        <f t="shared" si="2"/>
        <v>15000</v>
      </c>
    </row>
    <row r="32">
      <c r="B32" s="125" t="s">
        <v>345</v>
      </c>
      <c r="C32" s="68" t="s">
        <v>300</v>
      </c>
      <c r="D32" s="108">
        <v>800.0</v>
      </c>
      <c r="E32" s="127">
        <v>45627.0</v>
      </c>
      <c r="F32" s="127">
        <v>46054.0</v>
      </c>
      <c r="G32" s="60">
        <f t="shared" si="3"/>
        <v>15</v>
      </c>
      <c r="H32" s="128">
        <f t="shared" si="2"/>
        <v>12000</v>
      </c>
    </row>
    <row r="33">
      <c r="B33" s="125" t="s">
        <v>346</v>
      </c>
      <c r="C33" s="68" t="s">
        <v>347</v>
      </c>
      <c r="D33" s="108">
        <v>1100.0</v>
      </c>
      <c r="E33" s="127">
        <v>45748.0</v>
      </c>
      <c r="F33" s="127">
        <v>46054.0</v>
      </c>
      <c r="G33" s="60">
        <f t="shared" si="3"/>
        <v>11</v>
      </c>
      <c r="H33" s="128">
        <f t="shared" si="2"/>
        <v>12100</v>
      </c>
    </row>
    <row r="34">
      <c r="B34" s="122">
        <v>503.0</v>
      </c>
      <c r="C34" s="68" t="s">
        <v>300</v>
      </c>
      <c r="D34" s="108">
        <v>1000.0</v>
      </c>
      <c r="E34" s="127">
        <v>45627.0</v>
      </c>
      <c r="F34" s="127">
        <v>46054.0</v>
      </c>
      <c r="G34" s="60">
        <f t="shared" si="3"/>
        <v>15</v>
      </c>
      <c r="H34" s="128">
        <f t="shared" si="2"/>
        <v>15000</v>
      </c>
    </row>
    <row r="35">
      <c r="B35" s="125" t="s">
        <v>348</v>
      </c>
      <c r="C35" s="68" t="s">
        <v>307</v>
      </c>
      <c r="D35" s="108">
        <v>1000.0</v>
      </c>
      <c r="E35" s="127">
        <v>46054.0</v>
      </c>
      <c r="F35" s="127">
        <v>46054.0</v>
      </c>
      <c r="G35" s="60">
        <f t="shared" si="3"/>
        <v>1</v>
      </c>
      <c r="H35" s="128">
        <f t="shared" si="2"/>
        <v>1000</v>
      </c>
    </row>
    <row r="36">
      <c r="B36" s="122" t="s">
        <v>349</v>
      </c>
      <c r="C36" s="68" t="s">
        <v>300</v>
      </c>
      <c r="D36" s="108">
        <v>800.0</v>
      </c>
      <c r="E36" s="127">
        <v>45627.0</v>
      </c>
      <c r="F36" s="127">
        <v>46054.0</v>
      </c>
      <c r="G36" s="60">
        <f t="shared" si="3"/>
        <v>15</v>
      </c>
      <c r="H36" s="128">
        <f t="shared" si="2"/>
        <v>12000</v>
      </c>
    </row>
    <row r="37">
      <c r="B37" s="125" t="s">
        <v>350</v>
      </c>
      <c r="C37" s="68" t="s">
        <v>300</v>
      </c>
      <c r="D37" s="108">
        <v>1000.0</v>
      </c>
      <c r="E37" s="127">
        <v>45627.0</v>
      </c>
      <c r="F37" s="127">
        <v>46054.0</v>
      </c>
      <c r="G37" s="60">
        <f t="shared" si="3"/>
        <v>15</v>
      </c>
      <c r="H37" s="128">
        <f t="shared" si="2"/>
        <v>15000</v>
      </c>
    </row>
    <row r="38">
      <c r="B38" s="125" t="s">
        <v>351</v>
      </c>
      <c r="C38" s="68" t="s">
        <v>307</v>
      </c>
      <c r="D38" s="108">
        <v>1000.0</v>
      </c>
      <c r="E38" s="127">
        <v>46054.0</v>
      </c>
      <c r="F38" s="127">
        <v>46054.0</v>
      </c>
      <c r="G38" s="60">
        <f t="shared" si="3"/>
        <v>1</v>
      </c>
      <c r="H38" s="128">
        <f t="shared" si="2"/>
        <v>1000</v>
      </c>
    </row>
    <row r="40">
      <c r="G40" s="125" t="s">
        <v>9</v>
      </c>
      <c r="H40" s="130">
        <f>SUM(H3:H38)</f>
        <v>407300</v>
      </c>
    </row>
  </sheetData>
  <printOptions/>
  <pageMargins bottom="0.75" footer="0.0" header="0.0" left="0.25" right="0.25" top="0.75"/>
  <pageSetup fitToHeight="0" paperSize="8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2" max="2" width="14.0"/>
    <col customWidth="1" min="3" max="3" width="21.71"/>
    <col customWidth="1" min="4" max="4" width="35.57"/>
    <col customWidth="1" min="5" max="5" width="23.57"/>
    <col customWidth="1" min="6" max="6" width="18.86"/>
    <col customWidth="1" min="7" max="7" width="35.71"/>
    <col customWidth="1" min="8" max="8" width="36.43"/>
  </cols>
  <sheetData>
    <row r="2">
      <c r="B2" s="21" t="s">
        <v>295</v>
      </c>
      <c r="C2" s="22" t="s">
        <v>296</v>
      </c>
      <c r="D2" s="22" t="s">
        <v>27</v>
      </c>
      <c r="E2" s="22" t="s">
        <v>352</v>
      </c>
      <c r="F2" s="22" t="s">
        <v>353</v>
      </c>
      <c r="G2" s="85" t="s">
        <v>354</v>
      </c>
      <c r="H2" s="85" t="s">
        <v>355</v>
      </c>
    </row>
    <row r="3">
      <c r="B3" s="122" t="s">
        <v>299</v>
      </c>
      <c r="C3" s="68" t="s">
        <v>356</v>
      </c>
      <c r="D3" s="108">
        <v>800.0</v>
      </c>
      <c r="E3" s="127">
        <v>45536.0</v>
      </c>
      <c r="F3" s="127">
        <v>46113.0</v>
      </c>
      <c r="G3" s="60">
        <f t="shared" ref="G3:G7" si="1">DATEDIF(E3,F3,"M")+1</f>
        <v>20</v>
      </c>
      <c r="H3" s="128">
        <f t="shared" ref="H3:H38" si="2">D3*G3</f>
        <v>16000</v>
      </c>
    </row>
    <row r="4">
      <c r="B4" s="122">
        <v>102.0</v>
      </c>
      <c r="C4" s="68" t="s">
        <v>357</v>
      </c>
      <c r="D4" s="108">
        <v>1100.0</v>
      </c>
      <c r="E4" s="127">
        <v>45292.0</v>
      </c>
      <c r="F4" s="127">
        <v>46113.0</v>
      </c>
      <c r="G4" s="60">
        <f t="shared" si="1"/>
        <v>28</v>
      </c>
      <c r="H4" s="128">
        <f t="shared" si="2"/>
        <v>30800</v>
      </c>
    </row>
    <row r="5">
      <c r="B5" s="125" t="s">
        <v>303</v>
      </c>
      <c r="C5" s="68" t="s">
        <v>300</v>
      </c>
      <c r="D5" s="108">
        <v>1000.0</v>
      </c>
      <c r="E5" s="129">
        <v>45627.0</v>
      </c>
      <c r="F5" s="127">
        <v>46113.0</v>
      </c>
      <c r="G5" s="60">
        <f t="shared" si="1"/>
        <v>17</v>
      </c>
      <c r="H5" s="128">
        <f t="shared" si="2"/>
        <v>17000</v>
      </c>
    </row>
    <row r="6">
      <c r="B6" s="122" t="s">
        <v>304</v>
      </c>
      <c r="C6" s="68" t="s">
        <v>300</v>
      </c>
      <c r="D6" s="108">
        <v>1000.0</v>
      </c>
      <c r="E6" s="129">
        <v>45627.0</v>
      </c>
      <c r="F6" s="127">
        <v>46113.0</v>
      </c>
      <c r="G6" s="60">
        <f t="shared" si="1"/>
        <v>17</v>
      </c>
      <c r="H6" s="128">
        <f t="shared" si="2"/>
        <v>17000</v>
      </c>
    </row>
    <row r="7">
      <c r="B7" s="122" t="s">
        <v>305</v>
      </c>
      <c r="C7" s="68" t="s">
        <v>300</v>
      </c>
      <c r="D7" s="108">
        <v>800.0</v>
      </c>
      <c r="E7" s="129">
        <v>45627.0</v>
      </c>
      <c r="F7" s="127">
        <v>46113.0</v>
      </c>
      <c r="G7" s="60">
        <f t="shared" si="1"/>
        <v>17</v>
      </c>
      <c r="H7" s="128">
        <f t="shared" si="2"/>
        <v>13600</v>
      </c>
    </row>
    <row r="8">
      <c r="B8" s="125" t="s">
        <v>306</v>
      </c>
      <c r="C8" s="68" t="s">
        <v>307</v>
      </c>
      <c r="D8" s="108">
        <v>1000.0</v>
      </c>
      <c r="E8" s="127"/>
      <c r="F8" s="127"/>
      <c r="H8" s="128">
        <f t="shared" si="2"/>
        <v>0</v>
      </c>
    </row>
    <row r="9">
      <c r="B9" s="125" t="s">
        <v>309</v>
      </c>
      <c r="C9" s="68" t="s">
        <v>307</v>
      </c>
      <c r="D9" s="108">
        <v>1000.0</v>
      </c>
      <c r="E9" s="127"/>
      <c r="F9" s="127"/>
      <c r="H9" s="128">
        <f t="shared" si="2"/>
        <v>0</v>
      </c>
    </row>
    <row r="10">
      <c r="B10" s="122" t="s">
        <v>310</v>
      </c>
      <c r="C10" s="61" t="s">
        <v>311</v>
      </c>
      <c r="D10" s="108">
        <v>800.0</v>
      </c>
      <c r="E10" s="127">
        <v>45992.0</v>
      </c>
      <c r="F10" s="127">
        <v>46113.0</v>
      </c>
      <c r="G10" s="60">
        <f t="shared" ref="G10:G13" si="3">DATEDIF(E10,F10,"M")+1</f>
        <v>5</v>
      </c>
      <c r="H10" s="128">
        <f t="shared" si="2"/>
        <v>4000</v>
      </c>
    </row>
    <row r="11">
      <c r="B11" s="125" t="s">
        <v>312</v>
      </c>
      <c r="C11" s="68" t="s">
        <v>300</v>
      </c>
      <c r="D11" s="108">
        <v>1100.0</v>
      </c>
      <c r="E11" s="127">
        <v>45627.0</v>
      </c>
      <c r="F11" s="127">
        <v>45962.0</v>
      </c>
      <c r="G11" s="60">
        <f t="shared" si="3"/>
        <v>12</v>
      </c>
      <c r="H11" s="128">
        <f t="shared" si="2"/>
        <v>13200</v>
      </c>
    </row>
    <row r="12">
      <c r="B12" s="125" t="s">
        <v>312</v>
      </c>
      <c r="C12" s="68" t="s">
        <v>313</v>
      </c>
      <c r="D12" s="108">
        <v>1100.0</v>
      </c>
      <c r="E12" s="127">
        <v>46113.0</v>
      </c>
      <c r="F12" s="127">
        <v>46113.0</v>
      </c>
      <c r="G12" s="60">
        <f t="shared" si="3"/>
        <v>1</v>
      </c>
      <c r="H12" s="128">
        <f t="shared" si="2"/>
        <v>1100</v>
      </c>
    </row>
    <row r="13">
      <c r="B13" s="122" t="s">
        <v>314</v>
      </c>
      <c r="C13" s="61" t="s">
        <v>315</v>
      </c>
      <c r="D13" s="108">
        <v>1000.0</v>
      </c>
      <c r="E13" s="127">
        <v>44774.0</v>
      </c>
      <c r="F13" s="127">
        <v>46113.0</v>
      </c>
      <c r="G13" s="60">
        <f t="shared" si="3"/>
        <v>45</v>
      </c>
      <c r="H13" s="128">
        <f t="shared" si="2"/>
        <v>45000</v>
      </c>
    </row>
    <row r="14">
      <c r="B14" s="122" t="s">
        <v>316</v>
      </c>
      <c r="C14" s="61" t="s">
        <v>317</v>
      </c>
      <c r="D14" s="108">
        <v>1000.0</v>
      </c>
      <c r="E14" s="127"/>
      <c r="F14" s="127"/>
      <c r="H14" s="128">
        <f t="shared" si="2"/>
        <v>0</v>
      </c>
    </row>
    <row r="15">
      <c r="B15" s="122" t="s">
        <v>318</v>
      </c>
      <c r="C15" s="61" t="s">
        <v>319</v>
      </c>
      <c r="D15" s="108">
        <v>800.0</v>
      </c>
      <c r="E15" s="127">
        <v>45292.0</v>
      </c>
      <c r="F15" s="127">
        <v>46113.0</v>
      </c>
      <c r="G15" s="60">
        <f t="shared" ref="G15:G18" si="4">DATEDIF(E15,F15,"M")+1</f>
        <v>28</v>
      </c>
      <c r="H15" s="128">
        <f t="shared" si="2"/>
        <v>22400</v>
      </c>
    </row>
    <row r="16">
      <c r="B16" s="122" t="s">
        <v>320</v>
      </c>
      <c r="C16" s="68" t="s">
        <v>300</v>
      </c>
      <c r="D16" s="108">
        <v>1000.0</v>
      </c>
      <c r="E16" s="127">
        <v>45992.0</v>
      </c>
      <c r="F16" s="127">
        <v>46113.0</v>
      </c>
      <c r="G16" s="60">
        <f t="shared" si="4"/>
        <v>5</v>
      </c>
      <c r="H16" s="128">
        <f t="shared" si="2"/>
        <v>5000</v>
      </c>
    </row>
    <row r="17">
      <c r="B17" s="122" t="s">
        <v>321</v>
      </c>
      <c r="C17" s="61" t="s">
        <v>322</v>
      </c>
      <c r="D17" s="108">
        <v>1000.0</v>
      </c>
      <c r="E17" s="127">
        <v>45323.0</v>
      </c>
      <c r="F17" s="127">
        <v>46113.0</v>
      </c>
      <c r="G17" s="60">
        <f t="shared" si="4"/>
        <v>27</v>
      </c>
      <c r="H17" s="128">
        <f t="shared" si="2"/>
        <v>27000</v>
      </c>
    </row>
    <row r="18">
      <c r="B18" s="122" t="s">
        <v>323</v>
      </c>
      <c r="C18" s="61" t="s">
        <v>324</v>
      </c>
      <c r="D18" s="108">
        <v>800.0</v>
      </c>
      <c r="E18" s="127">
        <v>45474.0</v>
      </c>
      <c r="F18" s="127">
        <v>46113.0</v>
      </c>
      <c r="G18" s="60">
        <f t="shared" si="4"/>
        <v>22</v>
      </c>
      <c r="H18" s="128">
        <f t="shared" si="2"/>
        <v>17600</v>
      </c>
    </row>
    <row r="19">
      <c r="B19" s="122" t="s">
        <v>325</v>
      </c>
      <c r="C19" s="61" t="s">
        <v>326</v>
      </c>
      <c r="D19" s="108">
        <v>1100.0</v>
      </c>
      <c r="E19" s="127"/>
      <c r="F19" s="127"/>
      <c r="H19" s="128">
        <f t="shared" si="2"/>
        <v>0</v>
      </c>
    </row>
    <row r="20">
      <c r="B20" s="122" t="s">
        <v>327</v>
      </c>
      <c r="C20" s="61" t="s">
        <v>328</v>
      </c>
      <c r="D20" s="108">
        <v>1000.0</v>
      </c>
      <c r="E20" s="127"/>
      <c r="F20" s="127"/>
      <c r="H20" s="128">
        <f t="shared" si="2"/>
        <v>0</v>
      </c>
    </row>
    <row r="21">
      <c r="B21" s="122" t="s">
        <v>329</v>
      </c>
      <c r="C21" s="68" t="s">
        <v>300</v>
      </c>
      <c r="D21" s="108">
        <v>1000.0</v>
      </c>
      <c r="E21" s="127">
        <v>45627.0</v>
      </c>
      <c r="F21" s="127">
        <v>46113.0</v>
      </c>
      <c r="G21" s="60">
        <f t="shared" ref="G21:G23" si="5">DATEDIF(E21,F21,"M")+1</f>
        <v>17</v>
      </c>
      <c r="H21" s="128">
        <f t="shared" si="2"/>
        <v>17000</v>
      </c>
    </row>
    <row r="22">
      <c r="B22" s="122" t="s">
        <v>330</v>
      </c>
      <c r="C22" s="68" t="s">
        <v>300</v>
      </c>
      <c r="D22" s="108">
        <v>800.0</v>
      </c>
      <c r="E22" s="127">
        <v>45627.0</v>
      </c>
      <c r="F22" s="127">
        <v>46113.0</v>
      </c>
      <c r="G22" s="60">
        <f t="shared" si="5"/>
        <v>17</v>
      </c>
      <c r="H22" s="128">
        <f t="shared" si="2"/>
        <v>13600</v>
      </c>
    </row>
    <row r="23">
      <c r="B23" s="122" t="s">
        <v>331</v>
      </c>
      <c r="C23" s="61" t="s">
        <v>332</v>
      </c>
      <c r="D23" s="108">
        <v>1000.0</v>
      </c>
      <c r="E23" s="127">
        <v>46113.0</v>
      </c>
      <c r="F23" s="127">
        <v>46113.0</v>
      </c>
      <c r="G23" s="60">
        <f t="shared" si="5"/>
        <v>1</v>
      </c>
      <c r="H23" s="128">
        <f t="shared" si="2"/>
        <v>1000</v>
      </c>
    </row>
    <row r="24">
      <c r="B24" s="122" t="s">
        <v>333</v>
      </c>
      <c r="C24" s="61" t="s">
        <v>334</v>
      </c>
      <c r="D24" s="108">
        <v>1000.0</v>
      </c>
      <c r="F24" s="127"/>
      <c r="H24" s="128">
        <f t="shared" si="2"/>
        <v>0</v>
      </c>
    </row>
    <row r="25">
      <c r="B25" s="122" t="s">
        <v>335</v>
      </c>
      <c r="C25" s="61" t="s">
        <v>336</v>
      </c>
      <c r="D25" s="108">
        <v>800.0</v>
      </c>
      <c r="E25" s="127">
        <v>46082.0</v>
      </c>
      <c r="F25" s="127">
        <v>46113.0</v>
      </c>
      <c r="G25" s="60">
        <f t="shared" ref="G25:G26" si="6">DATEDIF(E25,F25,"M")+1</f>
        <v>2</v>
      </c>
      <c r="H25" s="128">
        <f t="shared" si="2"/>
        <v>1600</v>
      </c>
    </row>
    <row r="26">
      <c r="B26" s="125" t="s">
        <v>337</v>
      </c>
      <c r="C26" s="68" t="s">
        <v>338</v>
      </c>
      <c r="D26" s="108">
        <v>1100.0</v>
      </c>
      <c r="E26" s="127">
        <v>45383.0</v>
      </c>
      <c r="F26" s="127">
        <v>46113.0</v>
      </c>
      <c r="G26" s="60">
        <f t="shared" si="6"/>
        <v>25</v>
      </c>
      <c r="H26" s="128">
        <f t="shared" si="2"/>
        <v>27500</v>
      </c>
    </row>
    <row r="27">
      <c r="B27" s="125" t="s">
        <v>339</v>
      </c>
      <c r="C27" s="68" t="s">
        <v>307</v>
      </c>
      <c r="D27" s="108">
        <v>1000.0</v>
      </c>
      <c r="E27" s="127"/>
      <c r="F27" s="127"/>
      <c r="H27" s="128">
        <f t="shared" si="2"/>
        <v>0</v>
      </c>
    </row>
    <row r="28">
      <c r="B28" s="125" t="s">
        <v>340</v>
      </c>
      <c r="C28" s="68" t="s">
        <v>307</v>
      </c>
      <c r="D28" s="108">
        <v>1000.0</v>
      </c>
      <c r="E28" s="127"/>
      <c r="F28" s="127"/>
      <c r="H28" s="128">
        <f t="shared" si="2"/>
        <v>0</v>
      </c>
    </row>
    <row r="29">
      <c r="B29" s="122" t="s">
        <v>341</v>
      </c>
      <c r="C29" s="61" t="s">
        <v>342</v>
      </c>
      <c r="D29" s="108">
        <v>800.0</v>
      </c>
      <c r="E29" s="127">
        <v>46113.0</v>
      </c>
      <c r="F29" s="127">
        <v>46113.0</v>
      </c>
      <c r="G29" s="60">
        <f t="shared" ref="G29:G34" si="7">DATEDIF(E29,F29,"M")+1</f>
        <v>1</v>
      </c>
      <c r="H29" s="128">
        <f t="shared" si="2"/>
        <v>800</v>
      </c>
    </row>
    <row r="30">
      <c r="B30" s="122" t="s">
        <v>343</v>
      </c>
      <c r="C30" s="68" t="s">
        <v>300</v>
      </c>
      <c r="D30" s="108">
        <v>1000.0</v>
      </c>
      <c r="E30" s="127">
        <v>45627.0</v>
      </c>
      <c r="F30" s="127">
        <v>46113.0</v>
      </c>
      <c r="G30" s="60">
        <f t="shared" si="7"/>
        <v>17</v>
      </c>
      <c r="H30" s="128">
        <f t="shared" si="2"/>
        <v>17000</v>
      </c>
    </row>
    <row r="31">
      <c r="B31" s="122" t="s">
        <v>344</v>
      </c>
      <c r="C31" s="68" t="s">
        <v>300</v>
      </c>
      <c r="D31" s="108">
        <v>1000.0</v>
      </c>
      <c r="E31" s="127">
        <v>45627.0</v>
      </c>
      <c r="F31" s="127">
        <v>46113.0</v>
      </c>
      <c r="G31" s="60">
        <f t="shared" si="7"/>
        <v>17</v>
      </c>
      <c r="H31" s="128">
        <f t="shared" si="2"/>
        <v>17000</v>
      </c>
    </row>
    <row r="32">
      <c r="B32" s="125" t="s">
        <v>345</v>
      </c>
      <c r="C32" s="68" t="s">
        <v>300</v>
      </c>
      <c r="D32" s="108">
        <v>800.0</v>
      </c>
      <c r="E32" s="127">
        <v>45627.0</v>
      </c>
      <c r="F32" s="127">
        <v>46113.0</v>
      </c>
      <c r="G32" s="60">
        <f t="shared" si="7"/>
        <v>17</v>
      </c>
      <c r="H32" s="128">
        <f t="shared" si="2"/>
        <v>13600</v>
      </c>
    </row>
    <row r="33">
      <c r="B33" s="125" t="s">
        <v>346</v>
      </c>
      <c r="C33" s="68" t="s">
        <v>347</v>
      </c>
      <c r="D33" s="108">
        <v>1100.0</v>
      </c>
      <c r="E33" s="127">
        <v>45748.0</v>
      </c>
      <c r="F33" s="127">
        <v>46113.0</v>
      </c>
      <c r="G33" s="60">
        <f t="shared" si="7"/>
        <v>13</v>
      </c>
      <c r="H33" s="128">
        <f t="shared" si="2"/>
        <v>14300</v>
      </c>
    </row>
    <row r="34">
      <c r="B34" s="122">
        <v>503.0</v>
      </c>
      <c r="C34" s="68" t="s">
        <v>300</v>
      </c>
      <c r="D34" s="108">
        <v>1000.0</v>
      </c>
      <c r="E34" s="127">
        <v>45627.0</v>
      </c>
      <c r="F34" s="127">
        <v>46113.0</v>
      </c>
      <c r="G34" s="60">
        <f t="shared" si="7"/>
        <v>17</v>
      </c>
      <c r="H34" s="128">
        <f t="shared" si="2"/>
        <v>17000</v>
      </c>
    </row>
    <row r="35">
      <c r="B35" s="125" t="s">
        <v>348</v>
      </c>
      <c r="C35" s="68" t="s">
        <v>307</v>
      </c>
      <c r="D35" s="108">
        <v>1000.0</v>
      </c>
      <c r="E35" s="127"/>
      <c r="F35" s="127"/>
      <c r="H35" s="128">
        <f t="shared" si="2"/>
        <v>0</v>
      </c>
    </row>
    <row r="36">
      <c r="B36" s="122" t="s">
        <v>349</v>
      </c>
      <c r="C36" s="68" t="s">
        <v>300</v>
      </c>
      <c r="D36" s="108">
        <v>800.0</v>
      </c>
      <c r="E36" s="127">
        <v>45627.0</v>
      </c>
      <c r="F36" s="127">
        <v>46113.0</v>
      </c>
      <c r="G36" s="60">
        <f t="shared" ref="G36:G37" si="8">DATEDIF(E36,F36,"M")+1</f>
        <v>17</v>
      </c>
      <c r="H36" s="128">
        <f t="shared" si="2"/>
        <v>13600</v>
      </c>
    </row>
    <row r="37">
      <c r="B37" s="125" t="s">
        <v>350</v>
      </c>
      <c r="C37" s="68" t="s">
        <v>300</v>
      </c>
      <c r="D37" s="108">
        <v>1000.0</v>
      </c>
      <c r="E37" s="127">
        <v>45627.0</v>
      </c>
      <c r="F37" s="127">
        <v>46113.0</v>
      </c>
      <c r="G37" s="60">
        <f t="shared" si="8"/>
        <v>17</v>
      </c>
      <c r="H37" s="128">
        <f t="shared" si="2"/>
        <v>17000</v>
      </c>
    </row>
    <row r="38">
      <c r="B38" s="125" t="s">
        <v>351</v>
      </c>
      <c r="C38" s="68" t="s">
        <v>307</v>
      </c>
      <c r="D38" s="108">
        <v>1000.0</v>
      </c>
      <c r="E38" s="127"/>
      <c r="F38" s="127"/>
      <c r="H38" s="128">
        <f t="shared" si="2"/>
        <v>0</v>
      </c>
    </row>
    <row r="40">
      <c r="G40" s="125" t="s">
        <v>9</v>
      </c>
      <c r="H40" s="130">
        <f>SUM(H3:H38)</f>
        <v>400700</v>
      </c>
    </row>
  </sheetData>
  <printOptions/>
  <pageMargins bottom="0.75" footer="0.0" header="0.0" left="0.25" right="0.25" top="0.75"/>
  <pageSetup fitToHeight="0" paperSize="8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56.29"/>
    <col customWidth="1" min="3" max="3" width="16.71"/>
  </cols>
  <sheetData>
    <row r="1">
      <c r="B1" s="108" t="s">
        <v>358</v>
      </c>
    </row>
    <row r="2">
      <c r="B2" s="45" t="s">
        <v>33</v>
      </c>
      <c r="C2" s="45" t="s">
        <v>34</v>
      </c>
      <c r="F2" s="108" t="s">
        <v>359</v>
      </c>
    </row>
    <row r="3">
      <c r="B3" s="76" t="s">
        <v>360</v>
      </c>
      <c r="C3" s="65">
        <v>95920.0</v>
      </c>
      <c r="F3" s="108" t="s">
        <v>57</v>
      </c>
      <c r="G3" s="108" t="s">
        <v>42</v>
      </c>
      <c r="H3" s="108" t="s">
        <v>361</v>
      </c>
    </row>
    <row r="4">
      <c r="B4" s="76" t="s">
        <v>362</v>
      </c>
      <c r="C4" s="65">
        <v>15000.0</v>
      </c>
      <c r="F4" s="131">
        <v>45962.0</v>
      </c>
      <c r="G4" s="108">
        <v>66774.0</v>
      </c>
      <c r="H4" s="108" t="s">
        <v>363</v>
      </c>
    </row>
    <row r="5">
      <c r="B5" s="76" t="s">
        <v>364</v>
      </c>
      <c r="C5" s="65">
        <v>-96018.0</v>
      </c>
    </row>
    <row r="6">
      <c r="B6" s="63"/>
      <c r="C6" s="48"/>
    </row>
    <row r="7">
      <c r="B7" s="63"/>
      <c r="C7" s="48"/>
    </row>
    <row r="8">
      <c r="B8" s="63"/>
      <c r="C8" s="48"/>
    </row>
    <row r="9">
      <c r="B9" s="63"/>
      <c r="C9" s="48"/>
    </row>
    <row r="10">
      <c r="B10" s="63"/>
      <c r="C10" s="48"/>
    </row>
    <row r="11">
      <c r="B11" s="63"/>
      <c r="C11" s="48"/>
    </row>
    <row r="12">
      <c r="B12" s="63"/>
      <c r="C12" s="48"/>
    </row>
    <row r="13">
      <c r="B13" s="63"/>
      <c r="C13" s="48"/>
    </row>
    <row r="14">
      <c r="B14" s="63" t="s">
        <v>9</v>
      </c>
      <c r="C14" s="66">
        <f>SUM(C3:C13)</f>
        <v>14902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Omkar Gadekar</dc:creator>
</cp:coreProperties>
</file>